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44dd3d843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b85ac8b335ef4664"/>
    <x:sheet xmlns:r="http://schemas.openxmlformats.org/officeDocument/2006/relationships" name="FIELD_MOCK" sheetId="2" r:id="R5a77a78d674b4864"/>
    <x:sheet xmlns:r="http://schemas.openxmlformats.org/officeDocument/2006/relationships" name="RAW_SCHEDULE" sheetId="3" r:id="Re619dfd96a3e4dda"/>
    <x:sheet xmlns:r="http://schemas.openxmlformats.org/officeDocument/2006/relationships" name="SCHEDULE_EDIT" sheetId="4" r:id="R8dde01bde27e4e44"/>
    <x:sheet xmlns:r="http://schemas.openxmlformats.org/officeDocument/2006/relationships" name="SELECT_OUTPUTS" sheetId="5" r:id="Raa3be1cd3c214a6f"/>
    <x:sheet xmlns:r="http://schemas.openxmlformats.org/officeDocument/2006/relationships" name="TRAFFIC_CONTROL" sheetId="6" r:id="R919a413626264e07"/>
    <x:sheet xmlns:r="http://schemas.openxmlformats.org/officeDocument/2006/relationships" name="DROPOFF_PARAMS" sheetId="7" r:id="Rb09890509cb84034"/>
    <x:sheet xmlns:r="http://schemas.openxmlformats.org/officeDocument/2006/relationships" name="SOURCES_ROUTES" sheetId="8" r:id="R8f4b3b8a616f4029"/>
    <x:sheet xmlns:r="http://schemas.openxmlformats.org/officeDocument/2006/relationships" name="KPI_REGISTER" sheetId="9" r:id="R47aa7f76eeff4c73"/>
    <x:sheet xmlns:r="http://schemas.openxmlformats.org/officeDocument/2006/relationships" name="AUDIT" sheetId="10" r:id="R03107e9591d24a24"/>
    <x:sheet xmlns:r="http://schemas.openxmlformats.org/officeDocument/2006/relationships" name="EXPERIMENTS" sheetId="11" r:id="R5200cb1fad784ace"/>
    <x:sheet xmlns:r="http://schemas.openxmlformats.org/officeDocument/2006/relationships" name="CHANGE_LOG" sheetId="12" r:id="R842151cc8b2e4884"/>
    <x:sheet xmlns:r="http://schemas.openxmlformats.org/officeDocument/2006/relationships" name="SIM_NETWORK_MAP" sheetId="13" r:id="R929ef124e8f544c2"/>
    <x:sheet xmlns:r="http://schemas.openxmlformats.org/officeDocument/2006/relationships" name="DATA_BINDINGS" sheetId="14" r:id="R5956552b0976406e"/>
    <x:sheet xmlns:r="http://schemas.openxmlformats.org/officeDocument/2006/relationships" name="ROUTE_RULE_MAP" sheetId="15" r:id="Rb2ab39c15e45403b"/>
    <x:sheet xmlns:r="http://schemas.openxmlformats.org/officeDocument/2006/relationships" name="COLUMN_DICTIONARY" sheetId="16" r:id="R13328c067ca94c3b"/>
    <x:sheet xmlns:r="http://schemas.openxmlformats.org/officeDocument/2006/relationships" name="SCHEMA_INDEX" sheetId="17" r:id="Rcbbcc3cab8ae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.0"/>
  </x:numFmts>
  <x:fonts count="16">
    <x:font>
      <x:sz val="11"/>
      <x:name val="Carlito"/>
    </x:font>
    <x:font>
      <x:b/>
      <x:sz val="17"/>
      <x:color rgb="FFFFFFFF"/>
      <x:name val="Aptos"/>
    </x:font>
    <x:font>
      <x:sz val="10"/>
      <x:color rgb="FF60748B"/>
      <x:name val="Aptos"/>
    </x:font>
    <x:font>
      <x:b/>
      <x:sz val="10"/>
      <x:color rgb="FFFFFFFF"/>
      <x:name val="Aptos"/>
    </x:font>
    <x:font>
      <x:sz val="10"/>
      <x:color rgb="FF243447"/>
      <x:name val="Aptos"/>
    </x:font>
    <x:font>
      <x:b/>
      <x:sz val="10"/>
      <x:color rgb="FF4E6176"/>
      <x:name val="Aptos"/>
    </x:font>
    <x:font>
      <x:b/>
      <x:sz val="10"/>
      <x:color rgb="FF243447"/>
      <x:name val="Aptos"/>
    </x:font>
    <x:font>
      <x:b/>
      <x:sz val="10"/>
      <x:color rgb="FF0F766E"/>
      <x:name val="Aptos"/>
    </x:font>
    <x:font>
      <x:b/>
      <x:sz val="10"/>
      <x:color rgb="FF8B5A00"/>
      <x:name val="Aptos"/>
    </x:font>
    <x:font>
      <x:b/>
      <x:sz val="10"/>
      <x:color rgb="FF9E2E36"/>
      <x:name val="Aptos"/>
    </x:font>
    <x:font>
      <x:b/>
      <x:sz val="10"/>
      <x:color rgb="FF504080"/>
      <x:name val="Aptos"/>
    </x:font>
    <x:font>
      <x:b/>
      <x:sz val="11"/>
      <x:color rgb="FF243447"/>
      <x:name val="Aptos"/>
    </x:font>
    <x:font>
      <x:b/>
      <x:sz val="11"/>
      <x:color rgb="FF526174"/>
      <x:name val="Aptos"/>
    </x:font>
    <x:font>
      <x:b/>
      <x:sz val="10"/>
      <x:color rgb="FF536274"/>
      <x:name val="Aptos"/>
    </x:font>
    <x:font>
      <x:b/>
      <x:sz val="16"/>
      <x:color rgb="FFFFFFFF"/>
      <x:name val="Aptos"/>
    </x:font>
    <x:font>
      <x:sz val="10"/>
      <x:color rgb="FF506079"/>
      <x:name val="Aptos"/>
    </x:font>
  </x:fonts>
  <x:fills count="17">
    <x:fill>
      <x:patternFill patternType="none"/>
    </x:fill>
    <x:fill>
      <x:patternFill patternType="gray125"/>
    </x:fill>
    <x:fill>
      <x:patternFill patternType="solid">
        <x:fgColor rgb="FF152840"/>
      </x:patternFill>
    </x:fill>
    <x:fill>
      <x:patternFill patternType="solid">
        <x:fgColor rgb="FFEEF5FA"/>
      </x:patternFill>
    </x:fill>
    <x:fill>
      <x:patternFill patternType="solid">
        <x:fgColor rgb="FF233E5F"/>
      </x:patternFill>
    </x:fill>
    <x:fill>
      <x:patternFill patternType="solid">
        <x:fgColor rgb="FFF7FAFC"/>
      </x:patternFill>
    </x:fill>
    <x:fill>
      <x:patternFill patternType="solid">
        <x:fgColor rgb="FFDFF5EF"/>
      </x:patternFill>
    </x:fill>
    <x:fill>
      <x:patternFill patternType="solid">
        <x:fgColor rgb="FFFFF0CC"/>
      </x:patternFill>
    </x:fill>
    <x:fill>
      <x:patternFill patternType="solid">
        <x:fgColor rgb="FF152840"/>
      </x:patternFill>
    </x:fill>
    <x:fill>
      <x:patternFill patternType="solid">
        <x:fgColor rgb="FFF1F6FC"/>
      </x:patternFill>
    </x:fill>
    <x:fill>
      <x:patternFill patternType="solid">
        <x:fgColor rgb="FFE0F1FB"/>
      </x:patternFill>
    </x:fill>
    <x:fill>
      <x:patternFill patternType="solid">
        <x:fgColor rgb="FFDDF4EE"/>
      </x:patternFill>
    </x:fill>
    <x:fill>
      <x:patternFill patternType="solid">
        <x:fgColor rgb="FFFFF1D1"/>
      </x:patternFill>
    </x:fill>
    <x:fill>
      <x:patternFill patternType="solid">
        <x:fgColor rgb="FFFCE8E8"/>
      </x:patternFill>
    </x:fill>
    <x:fill>
      <x:patternFill patternType="solid">
        <x:fgColor rgb="FFEEEAFB"/>
      </x:patternFill>
    </x:fill>
    <x:fill>
      <x:patternFill patternType="solid">
        <x:fgColor rgb="FF263D58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2" fontId="4" fillId="7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horizontal="center" wrapText="1"/>
    </x:xf>
    <x:xf numFmtId="0" fontId="10" fillId="14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horizont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horizontal="center" wrapText="1"/>
    </x:xf>
    <x:xf numFmtId="0" fontId="13" fillId="16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b6cafcfd94518" /><Relationship Type="http://schemas.openxmlformats.org/officeDocument/2006/relationships/theme" Target="/xl/theme/theme1.xml" Id="Ra02dc48cd3aa4a94" /><Relationship Type="http://schemas.openxmlformats.org/officeDocument/2006/relationships/sharedStrings" Target="/xl/sharedStrings.xml" Id="R2bd220b732c94835" /><Relationship Type="http://schemas.openxmlformats.org/officeDocument/2006/relationships/worksheet" Target="/xl/worksheets/sheet1.xml" Id="Rb85ac8b335ef4664" /><Relationship Type="http://schemas.openxmlformats.org/officeDocument/2006/relationships/worksheet" Target="/xl/worksheets/sheet2.xml" Id="R5a77a78d674b4864" /><Relationship Type="http://schemas.openxmlformats.org/officeDocument/2006/relationships/worksheet" Target="/xl/worksheets/sheet3.xml" Id="Re619dfd96a3e4dda" /><Relationship Type="http://schemas.openxmlformats.org/officeDocument/2006/relationships/worksheet" Target="/xl/worksheets/sheet4.xml" Id="R8dde01bde27e4e44" /><Relationship Type="http://schemas.openxmlformats.org/officeDocument/2006/relationships/worksheet" Target="/xl/worksheets/sheet5.xml" Id="Raa3be1cd3c214a6f" /><Relationship Type="http://schemas.openxmlformats.org/officeDocument/2006/relationships/worksheet" Target="/xl/worksheets/sheet6.xml" Id="R919a413626264e07" /><Relationship Type="http://schemas.openxmlformats.org/officeDocument/2006/relationships/worksheet" Target="/xl/worksheets/sheet7.xml" Id="Rb09890509cb84034" /><Relationship Type="http://schemas.openxmlformats.org/officeDocument/2006/relationships/worksheet" Target="/xl/worksheets/sheet8.xml" Id="R8f4b3b8a616f4029" /><Relationship Type="http://schemas.openxmlformats.org/officeDocument/2006/relationships/worksheet" Target="/xl/worksheets/sheet9.xml" Id="R47aa7f76eeff4c73" /><Relationship Type="http://schemas.openxmlformats.org/officeDocument/2006/relationships/worksheet" Target="/xl/worksheets/sheet10.xml" Id="R03107e9591d24a24" /><Relationship Type="http://schemas.openxmlformats.org/officeDocument/2006/relationships/worksheet" Target="/xl/worksheets/sheet11.xml" Id="R5200cb1fad784ace" /><Relationship Type="http://schemas.openxmlformats.org/officeDocument/2006/relationships/worksheet" Target="/xl/worksheets/sheet12.xml" Id="R842151cc8b2e4884" /><Relationship Type="http://schemas.openxmlformats.org/officeDocument/2006/relationships/worksheet" Target="/xl/worksheets/sheet13.xml" Id="R929ef124e8f544c2" /><Relationship Type="http://schemas.openxmlformats.org/officeDocument/2006/relationships/worksheet" Target="/xl/worksheets/sheet14.xml" Id="R5956552b0976406e" /><Relationship Type="http://schemas.openxmlformats.org/officeDocument/2006/relationships/worksheet" Target="/xl/worksheets/sheet15.xml" Id="Rb2ab39c15e45403b" /><Relationship Type="http://schemas.openxmlformats.org/officeDocument/2006/relationships/worksheet" Target="/xl/worksheets/sheet16.xml" Id="R13328c067ca94c3b" /><Relationship Type="http://schemas.openxmlformats.org/officeDocument/2006/relationships/worksheet" Target="/xl/worksheets/sheet17.xml" Id="Rcbbcc3cab8ae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9" hidden="0" customWidth="1"/>
    <x:col min="3" max="3" width="31" hidden="0" customWidth="1"/>
    <x:col min="4" max="4" width="98" hidden="0" customWidth="1"/>
  </x:cols>
  <x:sheetData>
    <x:row r="1" ht="22" customHeight="1">
      <x:c r="A1" s="4" t="str">
        <x:v>SATIT CHULA  •  SIMULATION INPUT REGISTER</x:v>
      </x:c>
      <x:c r="B1" s="4"/>
      <x:c r="C1" s="4"/>
      <x:c r="D1" s="4"/>
    </x:row>
    <x:row r="2" ht="22" customHeight="1">
      <x:c r="A2" s="4"/>
      <x:c r="B2" s="4"/>
      <x:c r="C2" s="4"/>
      <x:c r="D2" s="4"/>
    </x:row>
    <x:row r="3" ht="24" customHeight="1">
      <x:c r="A3" s="9" t="str">
        <x:v>READ FIRST • Model snapshot, observed counts, provisional mock data, editable what-if rates, all SelectOutputs and audit items. GREEN cells editable; pale-blue cells formulas. Does not auto-sync to AnyLogic.</x:v>
      </x:c>
      <x:c r="B3" s="9"/>
      <x:c r="C3" s="9"/>
      <x:c r="D3" s="9"/>
    </x:row>
    <x:row r="4" ht="34" customHeight="1">
      <x:c r="A4" s="15" t="str">
        <x:v>Flow or metric</x:v>
      </x:c>
      <x:c r="B4" s="15" t="str">
        <x:v>Source key / value</x:v>
      </x:c>
      <x:c r="C4" s="15" t="str">
        <x:v>Expected 100min count</x:v>
      </x:c>
      <x:c r="D4" s="15" t="str">
        <x:v>Notes / actions</x:v>
      </x:c>
    </x:row>
    <x:row r="5" ht="23" customHeight="1">
      <x:c r="A5" s="21" t="str">
        <x:v>MODEL FILE</x:v>
      </x:c>
      <x:c r="B5" s="21" t="str">
        <x:v>Satit Chula Crossing final proj(1).alp</x:v>
      </x:c>
      <x:c r="C5" s="42" t="str">
        <x:v>XML snapshot</x:v>
      </x:c>
      <x:c r="D5" s="21" t="str">
        <x:v>As uploaded; may differ from later editor changes</x:v>
      </x:c>
    </x:row>
    <x:row r="6" ht="23" customHeight="1">
      <x:c r="A6" s="24" t="str">
        <x:v>START CLOCK</x:v>
      </x:c>
      <x:c r="B6" s="24" t="str">
        <x:v>06:30</x:v>
      </x:c>
      <x:c r="C6" s="43" t="str">
        <x:v>Daily Schedule</x:v>
      </x:c>
      <x:c r="D6" s="24" t="str">
        <x:v>Time bins mapped from 06:30 to 08:10</x:v>
      </x:c>
    </x:row>
    <x:row r="7" ht="23" customHeight="1">
      <x:c r="A7" s="21" t="str">
        <x:v>TARGET DURATION (min)</x:v>
      </x:c>
      <x:c r="B7" s="21" t="n">
        <x:v>100</x:v>
      </x:c>
      <x:c r="C7" s="42" t="str">
        <x:v>BASELINE</x:v>
      </x:c>
      <x:c r="D7" s="21" t="str">
        <x:v>6000 seconds intended; StopOption currently Never</x:v>
      </x:c>
    </x:row>
    <x:row r="8" ht="23" customHeight="1">
      <x:c r="A8" s="24" t="str">
        <x:v>Main pedestrians</x:v>
      </x:c>
      <x:c r="B8" s="24" t="str">
        <x:v>MainPed</x:v>
      </x:c>
      <x:c r="C8" s="43" t="n">
        <x:f>SUMIF(SCHEDULE_EDIT!$A$5:$A$74,B8,SCHEDULE_EDIT!$H$5:$H$74)</x:f>
        <x:v>889</x:v>
      </x:c>
      <x:c r="D8" s="24" t="str">
        <x:v>Expected ≈889 observed field</x:v>
      </x:c>
    </x:row>
    <x:row r="9" ht="23" customHeight="1">
      <x:c r="A9" s="21" t="str">
        <x:v>Second pedestrians</x:v>
      </x:c>
      <x:c r="B9" s="21" t="str">
        <x:v>SecondPed</x:v>
      </x:c>
      <x:c r="C9" s="42" t="n">
        <x:f>SUMIF(SCHEDULE_EDIT!$A$5:$A$74,B9,SCHEDULE_EDIT!$H$5:$H$74)</x:f>
        <x:v>222</x:v>
      </x:c>
      <x:c r="D9" s="21" t="str">
        <x:v>Expected 222 MOCK, currently wrong source schedule</x:v>
      </x:c>
    </x:row>
    <x:row r="10" ht="23" customHeight="1">
      <x:c r="A10" s="24" t="str">
        <x:v>Main road LEFT</x:v>
      </x:c>
      <x:c r="B10" s="24" t="str">
        <x:v>MainRoadLeft</x:v>
      </x:c>
      <x:c r="C10" s="43" t="n">
        <x:f>SUMIF(SCHEDULE_EDIT!$A$5:$A$74,B10,SCHEDULE_EDIT!$H$5:$H$74)</x:f>
        <x:v>409.3333333333333</x:v>
      </x:c>
      <x:c r="D10" s="24" t="str">
        <x:v>Raw hourly-style values /60 for recommended per min</x:v>
      </x:c>
    </x:row>
    <x:row r="11" ht="23" customHeight="1">
      <x:c r="A11" s="21" t="str">
        <x:v>Main road RIGHT</x:v>
      </x:c>
      <x:c r="B11" s="21" t="str">
        <x:v>MainRoadRight</x:v>
      </x:c>
      <x:c r="C11" s="42" t="n">
        <x:f>SUMIF(SCHEDULE_EDIT!$A$5:$A$74,B11,SCHEDULE_EDIT!$H$5:$H$74)</x:f>
        <x:v>355.1666666666667</x:v>
      </x:c>
      <x:c r="D11" s="21" t="str">
        <x:v>Raw hourly-style values /60 for recommended per min</x:v>
      </x:c>
    </x:row>
    <x:row r="12" ht="23" customHeight="1">
      <x:c r="A12" s="24" t="str">
        <x:v>Side road lane 1</x:v>
      </x:c>
      <x:c r="B12" s="24" t="str">
        <x:v>SideLane1</x:v>
      </x:c>
      <x:c r="C12" s="43" t="n">
        <x:f>SUMIF(SCHEDULE_EDIT!$A$5:$A$74,B12,SCHEDULE_EDIT!$H$5:$H$74)</x:f>
        <x:v>172</x:v>
      </x:c>
      <x:c r="D12" s="24" t="str">
        <x:v>FIELD 172, source still fixed 3/min</x:v>
      </x:c>
    </x:row>
    <x:row r="13" ht="23" customHeight="1">
      <x:c r="A13" s="21" t="str">
        <x:v>Side road lane 2</x:v>
      </x:c>
      <x:c r="B13" s="21" t="str">
        <x:v>SideLane2</x:v>
      </x:c>
      <x:c r="C13" s="42" t="n">
        <x:f>SUMIF(SCHEDULE_EDIT!$A$5:$A$74,B13,SCHEDULE_EDIT!$H$5:$H$74)</x:f>
        <x:v>351</x:v>
      </x:c>
      <x:c r="D13" s="21" t="str">
        <x:v>FIELD 351; PER_SECOND current unit is wrong</x:v>
      </x:c>
    </x:row>
    <x:row r="14" ht="23" customHeight="1">
      <x:c r="A14" s="24" t="str">
        <x:v>Parking main IN</x:v>
      </x:c>
      <x:c r="B14" s="24" t="str">
        <x:v>ParkingMainIN</x:v>
      </x:c>
      <x:c r="C14" s="43" t="n">
        <x:f>SUMIF(SCHEDULE_EDIT!$A$5:$A$74,B14,SCHEDULE_EDIT!$H$5:$H$74)</x:f>
        <x:v>151</x:v>
      </x:c>
      <x:c r="D14" s="24" t="str">
        <x:v>FIELD 151; existing car diversion</x:v>
      </x:c>
    </x:row>
    <x:row r="15" ht="23" customHeight="1">
      <x:c r="A15" s="21" t="str">
        <x:v>Parking main OUT</x:v>
      </x:c>
      <x:c r="B15" s="21" t="str">
        <x:v>ParkingMainOUT</x:v>
      </x:c>
      <x:c r="C15" s="42" t="n">
        <x:f>SUMIF(SCHEDULE_EDIT!$A$5:$A$74,B15,SCHEDULE_EDIT!$H$5:$H$74)</x:f>
        <x:v>88</x:v>
      </x:c>
      <x:c r="D15" s="21" t="str">
        <x:v>FIELD 88</x:v>
      </x:c>
    </x:row>
    <x:row r="16" ht="23" customHeight="1">
      <x:c r="A16" s="24" t="str">
        <x:v>Parking secondary IN</x:v>
      </x:c>
      <x:c r="B16" s="24" t="str">
        <x:v>ParkingSecondIN</x:v>
      </x:c>
      <x:c r="C16" s="43" t="n">
        <x:f>SUMIF(SCHEDULE_EDIT!$A$5:$A$74,B16,SCHEDULE_EDIT!$H$5:$H$74)</x:f>
        <x:v>46</x:v>
      </x:c>
      <x:c r="D16" s="24" t="str">
        <x:v>FIELD 46; model copied main rates</x:v>
      </x:c>
    </x:row>
    <x:row r="17" ht="23" customHeight="1">
      <x:c r="A17" s="21" t="str">
        <x:v>Parking secondary OUT</x:v>
      </x:c>
      <x:c r="B17" s="21" t="str">
        <x:v>ParkingSecondOUT</x:v>
      </x:c>
      <x:c r="C17" s="42" t="n">
        <x:f>SUMIF(SCHEDULE_EDIT!$A$5:$A$74,B17,SCHEDULE_EDIT!$H$5:$H$74)</x:f>
        <x:v>27</x:v>
      </x:c>
      <x:c r="D17" s="21" t="str">
        <x:v>FIELD 27</x:v>
      </x:c>
    </x:row>
    <x:row r="18" ht="23" customHeight="1">
      <x:c r="A18" s="24" t="str">
        <x:v>Second gate dropoff MOCK</x:v>
      </x:c>
      <x:c r="B18" s="24" t="str">
        <x:v>SecondDropoff</x:v>
      </x:c>
      <x:c r="C18" s="43" t="n">
        <x:f>SUMIF(FIELD_MOCK!$A$5:$A$67,B18,FIELD_MOCK!$D$5:$D$67)</x:f>
        <x:v>105</x:v>
      </x:c>
      <x:c r="D18" s="24" t="str">
        <x:v>Target 105 via branch selection (not extra source)</x:v>
      </x:c>
    </x:row>
    <x:row r="19" ht="23" customHeight="1">
      <x:c r="A19" s="46" t="str">
        <x:v>MAIN ROAD • TOTAL</x:v>
      </x:c>
      <x:c r="B19" s="46" t="str">
        <x:v>Both main source lanes</x:v>
      </x:c>
      <x:c r="C19" s="47" t="n">
        <x:f>C10+C11</x:f>
        <x:v>764.5</x:v>
      </x:c>
      <x:c r="D19" s="46" t="str">
        <x:v>Derived main demand (assumed hourly conversion)</x:v>
      </x:c>
    </x:row>
    <x:row r="20" ht="23" customHeight="1">
      <x:c r="A20" s="46" t="str">
        <x:v>SIDE ROAD • TOTAL</x:v>
      </x:c>
      <x:c r="B20" s="46" t="str">
        <x:v>Both side source lanes</x:v>
      </x:c>
      <x:c r="C20" s="47" t="n">
        <x:f>C12+C13</x:f>
        <x:v>523</x:v>
      </x:c>
      <x:c r="D20" s="46" t="str">
        <x:v>Derived side demand = 523 field</x:v>
      </x:c>
    </x:row>
    <x:row r="21" ht="23" customHeight="1">
      <x:c r="A21" s="46" t="str">
        <x:v>PARKING OUT • TOTAL</x:v>
      </x:c>
      <x:c r="B21" s="46" t="str">
        <x:v>Main + Secondary OUT</x:v>
      </x:c>
      <x:c r="C21" s="47" t="n">
        <x:f>C15+C17</x:f>
        <x:v>115</x:v>
      </x:c>
      <x:c r="D21" s="46" t="str">
        <x:v>Derived parking OUT =115 field</x:v>
      </x:c>
    </x:row>
    <x:row r="22" ht="23" customHeight="1">
      <x:c r="A22" s="46" t="str">
        <x:v>PARKING IN • TOTAL</x:v>
      </x:c>
      <x:c r="B22" s="46" t="str">
        <x:v>Main + Secondary IN</x:v>
      </x:c>
      <x:c r="C22" s="47" t="n">
        <x:f>C14+C16</x:f>
        <x:v>197</x:v>
      </x:c>
      <x:c r="D22" s="46" t="str">
        <x:v>Derived parking IN=197 field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6" hidden="0" customWidth="1"/>
    <x:col min="4" max="4" width="16" hidden="0" customWidth="1"/>
    <x:col min="5" max="5" width="17" hidden="0" customWidth="1"/>
    <x:col min="6" max="6" width="16" hidden="0" customWidth="1"/>
    <x:col min="7" max="7" width="20" hidden="0" customWidth="1"/>
    <x:col min="8" max="8" width="63" hidden="0" customWidth="1"/>
  </x:cols>
  <x:sheetData>
    <x:row r="1" ht="22" customHeight="1">
      <x:c r="A1" s="4" t="str">
        <x:v>01  •  FIELD COUNTS &amp; MOCK INPUTS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9" t="str">
        <x:v>GREEN Count = editable. MOCK values are assumptions, FIELD values were reported in prior project discussions; original CSVs were not mounted in this turn.</x:v>
      </x:c>
      <x:c r="B3" s="9"/>
      <x:c r="C3" s="9"/>
      <x:c r="D3" s="9"/>
      <x:c r="E3" s="9"/>
      <x:c r="F3" s="9"/>
      <x:c r="G3" s="9"/>
      <x:c r="H3" s="9"/>
    </x:row>
    <x:row r="4" ht="34" customHeight="1">
      <x:c r="A4" s="15" t="str">
        <x:v>Series</x:v>
      </x:c>
      <x:c r="B4" s="15" t="str">
        <x:v>Clock window</x:v>
      </x:c>
      <x:c r="C4" s="15" t="str">
        <x:v>Duration min</x:v>
      </x:c>
      <x:c r="D4" s="15" t="str">
        <x:v>Count (EDIT)</x:v>
      </x:c>
      <x:c r="E4" s="15" t="str">
        <x:v>Rate/min (auto)</x:v>
      </x:c>
      <x:c r="F4" s="15" t="str">
        <x:v>Data class</x:v>
      </x:c>
      <x:c r="G4" s="15" t="str">
        <x:v>Collected</x:v>
      </x:c>
      <x:c r="H4" s="15" t="str">
        <x:v>Provenance / notes</x:v>
      </x:c>
    </x:row>
    <x:row r="5" ht="28" customHeight="1">
      <x:c r="A5" s="21" t="str">
        <x:v>MainPed</x:v>
      </x:c>
      <x:c r="B5" s="21" t="str">
        <x:v>06:30–06:45</x:v>
      </x:c>
      <x:c r="C5" s="21" t="n">
        <x:v>15</x:v>
      </x:c>
      <x:c r="D5" s="30" t="n">
        <x:v>31</x:v>
      </x:c>
      <x:c r="E5" s="31" t="n">
        <x:f>IFERROR(D5/C5,0)</x:f>
        <x:v>2.066666666666667</x:v>
      </x:c>
      <x:c r="F5" s="21" t="str">
        <x:v>FIELD</x:v>
      </x:c>
      <x:c r="G5" s="21" t="str">
        <x:v>18 Aug 2026</x:v>
      </x:c>
      <x:c r="H5" s="21" t="str">
        <x:v>Main zebra pedestrian counts</x:v>
      </x:c>
    </x:row>
    <x:row r="6" ht="28" customHeight="1">
      <x:c r="A6" s="24" t="str">
        <x:v>MainPed</x:v>
      </x:c>
      <x:c r="B6" s="24" t="str">
        <x:v>06:45–07:00</x:v>
      </x:c>
      <x:c r="C6" s="24" t="n">
        <x:v>15</x:v>
      </x:c>
      <x:c r="D6" s="30" t="n">
        <x:v>82</x:v>
      </x:c>
      <x:c r="E6" s="31" t="n">
        <x:f>IFERROR(D6/C6,0)</x:f>
        <x:v>5.466666666666667</x:v>
      </x:c>
      <x:c r="F6" s="24" t="str">
        <x:v>FIELD</x:v>
      </x:c>
      <x:c r="G6" s="24" t="str">
        <x:v>18 Aug 2026</x:v>
      </x:c>
      <x:c r="H6" s="24" t="str">
        <x:v>Main zebra pedestrian counts</x:v>
      </x:c>
    </x:row>
    <x:row r="7" ht="28" customHeight="1">
      <x:c r="A7" s="21" t="str">
        <x:v>MainPed</x:v>
      </x:c>
      <x:c r="B7" s="21" t="str">
        <x:v>07:00–07:15</x:v>
      </x:c>
      <x:c r="C7" s="21" t="n">
        <x:v>15</x:v>
      </x:c>
      <x:c r="D7" s="30" t="n">
        <x:v>129</x:v>
      </x:c>
      <x:c r="E7" s="31" t="n">
        <x:f>IFERROR(D7/C7,0)</x:f>
        <x:v>8.6</x:v>
      </x:c>
      <x:c r="F7" s="21" t="str">
        <x:v>FIELD</x:v>
      </x:c>
      <x:c r="G7" s="21" t="str">
        <x:v>18 Aug 2026</x:v>
      </x:c>
      <x:c r="H7" s="21" t="str">
        <x:v>Main zebra pedestrian counts</x:v>
      </x:c>
    </x:row>
    <x:row r="8" ht="28" customHeight="1">
      <x:c r="A8" s="24" t="str">
        <x:v>MainPed</x:v>
      </x:c>
      <x:c r="B8" s="24" t="str">
        <x:v>07:15–07:30</x:v>
      </x:c>
      <x:c r="C8" s="24" t="n">
        <x:v>15</x:v>
      </x:c>
      <x:c r="D8" s="30" t="n">
        <x:v>183</x:v>
      </x:c>
      <x:c r="E8" s="31" t="n">
        <x:f>IFERROR(D8/C8,0)</x:f>
        <x:v>12.2</x:v>
      </x:c>
      <x:c r="F8" s="24" t="str">
        <x:v>FIELD</x:v>
      </x:c>
      <x:c r="G8" s="24" t="str">
        <x:v>18 Aug 2026</x:v>
      </x:c>
      <x:c r="H8" s="24" t="str">
        <x:v>Main zebra pedestrian counts</x:v>
      </x:c>
    </x:row>
    <x:row r="9" ht="28" customHeight="1">
      <x:c r="A9" s="21" t="str">
        <x:v>MainPed</x:v>
      </x:c>
      <x:c r="B9" s="21" t="str">
        <x:v>07:30–07:45</x:v>
      </x:c>
      <x:c r="C9" s="21" t="n">
        <x:v>15</x:v>
      </x:c>
      <x:c r="D9" s="30" t="n">
        <x:v>198</x:v>
      </x:c>
      <x:c r="E9" s="31" t="n">
        <x:f>IFERROR(D9/C9,0)</x:f>
        <x:v>13.2</x:v>
      </x:c>
      <x:c r="F9" s="21" t="str">
        <x:v>FIELD</x:v>
      </x:c>
      <x:c r="G9" s="21" t="str">
        <x:v>18 Aug 2026</x:v>
      </x:c>
      <x:c r="H9" s="21" t="str">
        <x:v>Main zebra pedestrian counts</x:v>
      </x:c>
    </x:row>
    <x:row r="10" ht="28" customHeight="1">
      <x:c r="A10" s="24" t="str">
        <x:v>MainPed</x:v>
      </x:c>
      <x:c r="B10" s="24" t="str">
        <x:v>07:45–08:00</x:v>
      </x:c>
      <x:c r="C10" s="24" t="n">
        <x:v>15</x:v>
      </x:c>
      <x:c r="D10" s="30" t="n">
        <x:v>251</x:v>
      </x:c>
      <x:c r="E10" s="31" t="n">
        <x:f>IFERROR(D10/C10,0)</x:f>
        <x:v>16.733333333333334</x:v>
      </x:c>
      <x:c r="F10" s="24" t="str">
        <x:v>FIELD</x:v>
      </x:c>
      <x:c r="G10" s="24" t="str">
        <x:v>18 Aug 2026</x:v>
      </x:c>
      <x:c r="H10" s="24" t="str">
        <x:v>Main zebra pedestrian counts</x:v>
      </x:c>
    </x:row>
    <x:row r="11" ht="28" customHeight="1">
      <x:c r="A11" s="21" t="str">
        <x:v>MainPed</x:v>
      </x:c>
      <x:c r="B11" s="21" t="str">
        <x:v>08:00–08:10</x:v>
      </x:c>
      <x:c r="C11" s="21" t="n">
        <x:v>10</x:v>
      </x:c>
      <x:c r="D11" s="30" t="n">
        <x:v>15</x:v>
      </x:c>
      <x:c r="E11" s="31" t="n">
        <x:f>IFERROR(D11/C11,0)</x:f>
        <x:v>1.5</x:v>
      </x:c>
      <x:c r="F11" s="21" t="str">
        <x:v>FIELD</x:v>
      </x:c>
      <x:c r="G11" s="21" t="str">
        <x:v>18 Aug 2026</x:v>
      </x:c>
      <x:c r="H11" s="21" t="str">
        <x:v>Main zebra pedestrian counts</x:v>
      </x:c>
    </x:row>
    <x:row r="12" ht="28" customHeight="1">
      <x:c r="A12" s="24" t="str">
        <x:v>SecondPed</x:v>
      </x:c>
      <x:c r="B12" s="24" t="str">
        <x:v>06:30–06:45</x:v>
      </x:c>
      <x:c r="C12" s="24" t="n">
        <x:v>15</x:v>
      </x:c>
      <x:c r="D12" s="30" t="n">
        <x:v>8</x:v>
      </x:c>
      <x:c r="E12" s="31" t="n">
        <x:f>IFERROR(D12/C12,0)</x:f>
        <x:v>0.5333333333333333</x:v>
      </x:c>
      <x:c r="F12" s="24" t="str">
        <x:v>MOCK</x:v>
      </x:c>
      <x:c r="G12" s="24" t="str">
        <x:v>Provisional</x:v>
      </x:c>
      <x:c r="H12" s="24" t="str">
        <x:v>~25% of main pedestrian demand</x:v>
      </x:c>
    </x:row>
    <x:row r="13" ht="28" customHeight="1">
      <x:c r="A13" s="21" t="str">
        <x:v>SecondPed</x:v>
      </x:c>
      <x:c r="B13" s="21" t="str">
        <x:v>06:45–07:00</x:v>
      </x:c>
      <x:c r="C13" s="21" t="n">
        <x:v>15</x:v>
      </x:c>
      <x:c r="D13" s="30" t="n">
        <x:v>20</x:v>
      </x:c>
      <x:c r="E13" s="31" t="n">
        <x:f>IFERROR(D13/C13,0)</x:f>
        <x:v>1.3333333333333333</x:v>
      </x:c>
      <x:c r="F13" s="21" t="str">
        <x:v>MOCK</x:v>
      </x:c>
      <x:c r="G13" s="21" t="str">
        <x:v>Provisional</x:v>
      </x:c>
      <x:c r="H13" s="21" t="str">
        <x:v>~25% of main pedestrian demand</x:v>
      </x:c>
    </x:row>
    <x:row r="14" ht="28" customHeight="1">
      <x:c r="A14" s="24" t="str">
        <x:v>SecondPed</x:v>
      </x:c>
      <x:c r="B14" s="24" t="str">
        <x:v>07:00–07:15</x:v>
      </x:c>
      <x:c r="C14" s="24" t="n">
        <x:v>15</x:v>
      </x:c>
      <x:c r="D14" s="30" t="n">
        <x:v>32</x:v>
      </x:c>
      <x:c r="E14" s="31" t="n">
        <x:f>IFERROR(D14/C14,0)</x:f>
        <x:v>2.1333333333333333</x:v>
      </x:c>
      <x:c r="F14" s="24" t="str">
        <x:v>MOCK</x:v>
      </x:c>
      <x:c r="G14" s="24" t="str">
        <x:v>Provisional</x:v>
      </x:c>
      <x:c r="H14" s="24" t="str">
        <x:v>~25% of main pedestrian demand</x:v>
      </x:c>
    </x:row>
    <x:row r="15" ht="28" customHeight="1">
      <x:c r="A15" s="21" t="str">
        <x:v>SecondPed</x:v>
      </x:c>
      <x:c r="B15" s="21" t="str">
        <x:v>07:15–07:30</x:v>
      </x:c>
      <x:c r="C15" s="21" t="n">
        <x:v>15</x:v>
      </x:c>
      <x:c r="D15" s="30" t="n">
        <x:v>46</x:v>
      </x:c>
      <x:c r="E15" s="31" t="n">
        <x:f>IFERROR(D15/C15,0)</x:f>
        <x:v>3.066666666666667</x:v>
      </x:c>
      <x:c r="F15" s="21" t="str">
        <x:v>MOCK</x:v>
      </x:c>
      <x:c r="G15" s="21" t="str">
        <x:v>Provisional</x:v>
      </x:c>
      <x:c r="H15" s="21" t="str">
        <x:v>~25% of main pedestrian demand</x:v>
      </x:c>
    </x:row>
    <x:row r="16" ht="28" customHeight="1">
      <x:c r="A16" s="24" t="str">
        <x:v>SecondPed</x:v>
      </x:c>
      <x:c r="B16" s="24" t="str">
        <x:v>07:30–07:45</x:v>
      </x:c>
      <x:c r="C16" s="24" t="n">
        <x:v>15</x:v>
      </x:c>
      <x:c r="D16" s="30" t="n">
        <x:v>49</x:v>
      </x:c>
      <x:c r="E16" s="31" t="n">
        <x:f>IFERROR(D16/C16,0)</x:f>
        <x:v>3.2666666666666666</x:v>
      </x:c>
      <x:c r="F16" s="24" t="str">
        <x:v>MOCK</x:v>
      </x:c>
      <x:c r="G16" s="24" t="str">
        <x:v>Provisional</x:v>
      </x:c>
      <x:c r="H16" s="24" t="str">
        <x:v>~25% of main pedestrian demand</x:v>
      </x:c>
    </x:row>
    <x:row r="17" ht="28" customHeight="1">
      <x:c r="A17" s="21" t="str">
        <x:v>SecondPed</x:v>
      </x:c>
      <x:c r="B17" s="21" t="str">
        <x:v>07:45–08:00</x:v>
      </x:c>
      <x:c r="C17" s="21" t="n">
        <x:v>15</x:v>
      </x:c>
      <x:c r="D17" s="30" t="n">
        <x:v>63</x:v>
      </x:c>
      <x:c r="E17" s="31" t="n">
        <x:f>IFERROR(D17/C17,0)</x:f>
        <x:v>4.2</x:v>
      </x:c>
      <x:c r="F17" s="21" t="str">
        <x:v>MOCK</x:v>
      </x:c>
      <x:c r="G17" s="21" t="str">
        <x:v>Provisional</x:v>
      </x:c>
      <x:c r="H17" s="21" t="str">
        <x:v>~25% of main pedestrian demand</x:v>
      </x:c>
    </x:row>
    <x:row r="18" ht="28" customHeight="1">
      <x:c r="A18" s="24" t="str">
        <x:v>SecondPed</x:v>
      </x:c>
      <x:c r="B18" s="24" t="str">
        <x:v>08:00–08:10</x:v>
      </x:c>
      <x:c r="C18" s="24" t="n">
        <x:v>10</x:v>
      </x:c>
      <x:c r="D18" s="30" t="n">
        <x:v>4</x:v>
      </x:c>
      <x:c r="E18" s="31" t="n">
        <x:f>IFERROR(D18/C18,0)</x:f>
        <x:v>0.4</x:v>
      </x:c>
      <x:c r="F18" s="24" t="str">
        <x:v>MOCK</x:v>
      </x:c>
      <x:c r="G18" s="24" t="str">
        <x:v>Provisional</x:v>
      </x:c>
      <x:c r="H18" s="24" t="str">
        <x:v>~25% of main pedestrian demand</x:v>
      </x:c>
    </x:row>
    <x:row r="19" ht="28" customHeight="1">
      <x:c r="A19" s="21" t="str">
        <x:v>SideLane1</x:v>
      </x:c>
      <x:c r="B19" s="21" t="str">
        <x:v>06:30–06:45</x:v>
      </x:c>
      <x:c r="C19" s="21" t="n">
        <x:v>15</x:v>
      </x:c>
      <x:c r="D19" s="30" t="n">
        <x:v>3</x:v>
      </x:c>
      <x:c r="E19" s="31" t="n">
        <x:f>IFERROR(D19/C19,0)</x:f>
        <x:v>0.2</x:v>
      </x:c>
      <x:c r="F19" s="21" t="str">
        <x:v>FIELD</x:v>
      </x:c>
      <x:c r="G19" s="21" t="str">
        <x:v>25 Sep 2026</x:v>
      </x:c>
      <x:c r="H19" s="21" t="str">
        <x:v>Road counter lane 1; check physical lane assignment</x:v>
      </x:c>
    </x:row>
    <x:row r="20" ht="28" customHeight="1">
      <x:c r="A20" s="24" t="str">
        <x:v>SideLane1</x:v>
      </x:c>
      <x:c r="B20" s="24" t="str">
        <x:v>06:45–07:00</x:v>
      </x:c>
      <x:c r="C20" s="24" t="n">
        <x:v>15</x:v>
      </x:c>
      <x:c r="D20" s="30" t="n">
        <x:v>1</x:v>
      </x:c>
      <x:c r="E20" s="31" t="n">
        <x:f>IFERROR(D20/C20,0)</x:f>
        <x:v>0.06666666666666667</x:v>
      </x:c>
      <x:c r="F20" s="24" t="str">
        <x:v>FIELD</x:v>
      </x:c>
      <x:c r="G20" s="24" t="str">
        <x:v>25 Sep 2026</x:v>
      </x:c>
      <x:c r="H20" s="24" t="str">
        <x:v>Road counter lane 1; check physical lane assignment</x:v>
      </x:c>
    </x:row>
    <x:row r="21" ht="28" customHeight="1">
      <x:c r="A21" s="21" t="str">
        <x:v>SideLane1</x:v>
      </x:c>
      <x:c r="B21" s="21" t="str">
        <x:v>07:00–07:15</x:v>
      </x:c>
      <x:c r="C21" s="21" t="n">
        <x:v>15</x:v>
      </x:c>
      <x:c r="D21" s="30" t="n">
        <x:v>32</x:v>
      </x:c>
      <x:c r="E21" s="31" t="n">
        <x:f>IFERROR(D21/C21,0)</x:f>
        <x:v>2.1333333333333333</x:v>
      </x:c>
      <x:c r="F21" s="21" t="str">
        <x:v>FIELD</x:v>
      </x:c>
      <x:c r="G21" s="21" t="str">
        <x:v>25 Sep 2026</x:v>
      </x:c>
      <x:c r="H21" s="21" t="str">
        <x:v>Road counter lane 1; check physical lane assignment</x:v>
      </x:c>
    </x:row>
    <x:row r="22" ht="28" customHeight="1">
      <x:c r="A22" s="24" t="str">
        <x:v>SideLane1</x:v>
      </x:c>
      <x:c r="B22" s="24" t="str">
        <x:v>07:15–07:30</x:v>
      </x:c>
      <x:c r="C22" s="24" t="n">
        <x:v>15</x:v>
      </x:c>
      <x:c r="D22" s="30" t="n">
        <x:v>44</x:v>
      </x:c>
      <x:c r="E22" s="31" t="n">
        <x:f>IFERROR(D22/C22,0)</x:f>
        <x:v>2.933333333333333</x:v>
      </x:c>
      <x:c r="F22" s="24" t="str">
        <x:v>FIELD</x:v>
      </x:c>
      <x:c r="G22" s="24" t="str">
        <x:v>25 Sep 2026</x:v>
      </x:c>
      <x:c r="H22" s="24" t="str">
        <x:v>Road counter lane 1; check physical lane assignment</x:v>
      </x:c>
    </x:row>
    <x:row r="23" ht="28" customHeight="1">
      <x:c r="A23" s="21" t="str">
        <x:v>SideLane1</x:v>
      </x:c>
      <x:c r="B23" s="21" t="str">
        <x:v>07:30–07:45</x:v>
      </x:c>
      <x:c r="C23" s="21" t="n">
        <x:v>15</x:v>
      </x:c>
      <x:c r="D23" s="30" t="n">
        <x:v>42</x:v>
      </x:c>
      <x:c r="E23" s="31" t="n">
        <x:f>IFERROR(D23/C23,0)</x:f>
        <x:v>2.8</x:v>
      </x:c>
      <x:c r="F23" s="21" t="str">
        <x:v>FIELD</x:v>
      </x:c>
      <x:c r="G23" s="21" t="str">
        <x:v>25 Sep 2026</x:v>
      </x:c>
      <x:c r="H23" s="21" t="str">
        <x:v>Road counter lane 1; check physical lane assignment</x:v>
      </x:c>
    </x:row>
    <x:row r="24" ht="28" customHeight="1">
      <x:c r="A24" s="24" t="str">
        <x:v>SideLane1</x:v>
      </x:c>
      <x:c r="B24" s="24" t="str">
        <x:v>07:45–08:00</x:v>
      </x:c>
      <x:c r="C24" s="24" t="n">
        <x:v>15</x:v>
      </x:c>
      <x:c r="D24" s="30" t="n">
        <x:v>48</x:v>
      </x:c>
      <x:c r="E24" s="31" t="n">
        <x:f>IFERROR(D24/C24,0)</x:f>
        <x:v>3.2</x:v>
      </x:c>
      <x:c r="F24" s="24" t="str">
        <x:v>FIELD</x:v>
      </x:c>
      <x:c r="G24" s="24" t="str">
        <x:v>25 Sep 2026</x:v>
      </x:c>
      <x:c r="H24" s="24" t="str">
        <x:v>Road counter lane 1; check physical lane assignment</x:v>
      </x:c>
    </x:row>
    <x:row r="25" ht="28" customHeight="1">
      <x:c r="A25" s="21" t="str">
        <x:v>SideLane1</x:v>
      </x:c>
      <x:c r="B25" s="21" t="str">
        <x:v>08:00–08:10</x:v>
      </x:c>
      <x:c r="C25" s="21" t="n">
        <x:v>10</x:v>
      </x:c>
      <x:c r="D25" s="30" t="n">
        <x:v>2</x:v>
      </x:c>
      <x:c r="E25" s="31" t="n">
        <x:f>IFERROR(D25/C25,0)</x:f>
        <x:v>0.2</x:v>
      </x:c>
      <x:c r="F25" s="21" t="str">
        <x:v>FIELD</x:v>
      </x:c>
      <x:c r="G25" s="21" t="str">
        <x:v>25 Sep 2026</x:v>
      </x:c>
      <x:c r="H25" s="21" t="str">
        <x:v>Road counter lane 1; check physical lane assignment</x:v>
      </x:c>
    </x:row>
    <x:row r="26" ht="28" customHeight="1">
      <x:c r="A26" s="24" t="str">
        <x:v>SideLane2</x:v>
      </x:c>
      <x:c r="B26" s="24" t="str">
        <x:v>06:30–06:45</x:v>
      </x:c>
      <x:c r="C26" s="24" t="n">
        <x:v>15</x:v>
      </x:c>
      <x:c r="D26" s="30" t="n">
        <x:v>12</x:v>
      </x:c>
      <x:c r="E26" s="31" t="n">
        <x:f>IFERROR(D26/C26,0)</x:f>
        <x:v>0.8</x:v>
      </x:c>
      <x:c r="F26" s="24" t="str">
        <x:v>FIELD</x:v>
      </x:c>
      <x:c r="G26" s="24" t="str">
        <x:v>25 Sep 2026</x:v>
      </x:c>
      <x:c r="H26" s="24" t="str">
        <x:v>Road counter lane 2; check physical lane assignment</x:v>
      </x:c>
    </x:row>
    <x:row r="27" ht="28" customHeight="1">
      <x:c r="A27" s="21" t="str">
        <x:v>SideLane2</x:v>
      </x:c>
      <x:c r="B27" s="21" t="str">
        <x:v>06:45–07:00</x:v>
      </x:c>
      <x:c r="C27" s="21" t="n">
        <x:v>15</x:v>
      </x:c>
      <x:c r="D27" s="30" t="n">
        <x:v>28</x:v>
      </x:c>
      <x:c r="E27" s="31" t="n">
        <x:f>IFERROR(D27/C27,0)</x:f>
        <x:v>1.8666666666666667</x:v>
      </x:c>
      <x:c r="F27" s="21" t="str">
        <x:v>FIELD</x:v>
      </x:c>
      <x:c r="G27" s="21" t="str">
        <x:v>25 Sep 2026</x:v>
      </x:c>
      <x:c r="H27" s="21" t="str">
        <x:v>Road counter lane 2; check physical lane assignment</x:v>
      </x:c>
    </x:row>
    <x:row r="28" ht="28" customHeight="1">
      <x:c r="A28" s="24" t="str">
        <x:v>SideLane2</x:v>
      </x:c>
      <x:c r="B28" s="24" t="str">
        <x:v>07:00–07:15</x:v>
      </x:c>
      <x:c r="C28" s="24" t="n">
        <x:v>15</x:v>
      </x:c>
      <x:c r="D28" s="30" t="n">
        <x:v>48</x:v>
      </x:c>
      <x:c r="E28" s="31" t="n">
        <x:f>IFERROR(D28/C28,0)</x:f>
        <x:v>3.2</x:v>
      </x:c>
      <x:c r="F28" s="24" t="str">
        <x:v>FIELD</x:v>
      </x:c>
      <x:c r="G28" s="24" t="str">
        <x:v>25 Sep 2026</x:v>
      </x:c>
      <x:c r="H28" s="24" t="str">
        <x:v>Road counter lane 2; check physical lane assignment</x:v>
      </x:c>
    </x:row>
    <x:row r="29" ht="28" customHeight="1">
      <x:c r="A29" s="21" t="str">
        <x:v>SideLane2</x:v>
      </x:c>
      <x:c r="B29" s="21" t="str">
        <x:v>07:15–07:30</x:v>
      </x:c>
      <x:c r="C29" s="21" t="n">
        <x:v>15</x:v>
      </x:c>
      <x:c r="D29" s="30" t="n">
        <x:v>82</x:v>
      </x:c>
      <x:c r="E29" s="31" t="n">
        <x:f>IFERROR(D29/C29,0)</x:f>
        <x:v>5.466666666666667</x:v>
      </x:c>
      <x:c r="F29" s="21" t="str">
        <x:v>FIELD</x:v>
      </x:c>
      <x:c r="G29" s="21" t="str">
        <x:v>25 Sep 2026</x:v>
      </x:c>
      <x:c r="H29" s="21" t="str">
        <x:v>Road counter lane 2; check physical lane assignment</x:v>
      </x:c>
    </x:row>
    <x:row r="30" ht="28" customHeight="1">
      <x:c r="A30" s="24" t="str">
        <x:v>SideLane2</x:v>
      </x:c>
      <x:c r="B30" s="24" t="str">
        <x:v>07:30–07:45</x:v>
      </x:c>
      <x:c r="C30" s="24" t="n">
        <x:v>15</x:v>
      </x:c>
      <x:c r="D30" s="30" t="n">
        <x:v>65</x:v>
      </x:c>
      <x:c r="E30" s="31" t="n">
        <x:f>IFERROR(D30/C30,0)</x:f>
        <x:v>4.333333333333333</x:v>
      </x:c>
      <x:c r="F30" s="24" t="str">
        <x:v>FIELD</x:v>
      </x:c>
      <x:c r="G30" s="24" t="str">
        <x:v>25 Sep 2026</x:v>
      </x:c>
      <x:c r="H30" s="24" t="str">
        <x:v>Road counter lane 2; check physical lane assignment</x:v>
      </x:c>
    </x:row>
    <x:row r="31" ht="28" customHeight="1">
      <x:c r="A31" s="21" t="str">
        <x:v>SideLane2</x:v>
      </x:c>
      <x:c r="B31" s="21" t="str">
        <x:v>07:45–08:00</x:v>
      </x:c>
      <x:c r="C31" s="21" t="n">
        <x:v>15</x:v>
      </x:c>
      <x:c r="D31" s="30" t="n">
        <x:v>83</x:v>
      </x:c>
      <x:c r="E31" s="31" t="n">
        <x:f>IFERROR(D31/C31,0)</x:f>
        <x:v>5.533333333333333</x:v>
      </x:c>
      <x:c r="F31" s="21" t="str">
        <x:v>FIELD</x:v>
      </x:c>
      <x:c r="G31" s="21" t="str">
        <x:v>25 Sep 2026</x:v>
      </x:c>
      <x:c r="H31" s="21" t="str">
        <x:v>Road counter lane 2; check physical lane assignment</x:v>
      </x:c>
    </x:row>
    <x:row r="32" ht="28" customHeight="1">
      <x:c r="A32" s="24" t="str">
        <x:v>SideLane2</x:v>
      </x:c>
      <x:c r="B32" s="24" t="str">
        <x:v>08:00–08:10</x:v>
      </x:c>
      <x:c r="C32" s="24" t="n">
        <x:v>10</x:v>
      </x:c>
      <x:c r="D32" s="30" t="n">
        <x:v>33</x:v>
      </x:c>
      <x:c r="E32" s="31" t="n">
        <x:f>IFERROR(D32/C32,0)</x:f>
        <x:v>3.3</x:v>
      </x:c>
      <x:c r="F32" s="24" t="str">
        <x:v>FIELD</x:v>
      </x:c>
      <x:c r="G32" s="24" t="str">
        <x:v>25 Sep 2026</x:v>
      </x:c>
      <x:c r="H32" s="24" t="str">
        <x:v>Road counter lane 2; check physical lane assignment</x:v>
      </x:c>
    </x:row>
    <x:row r="33" ht="28" customHeight="1">
      <x:c r="A33" s="21" t="str">
        <x:v>ParkingMainIN</x:v>
      </x:c>
      <x:c r="B33" s="21" t="str">
        <x:v>06:30–06:45</x:v>
      </x:c>
      <x:c r="C33" s="21" t="n">
        <x:v>15</x:v>
      </x:c>
      <x:c r="D33" s="30" t="n">
        <x:v>21</x:v>
      </x:c>
      <x:c r="E33" s="31" t="n">
        <x:f>IFERROR(D33/C33,0)</x:f>
        <x:v>1.4</x:v>
      </x:c>
      <x:c r="F33" s="21" t="str">
        <x:v>FIELD</x:v>
      </x:c>
      <x:c r="G33" s="21" t="str">
        <x:v>16 Sep 2026</x:v>
      </x:c>
      <x:c r="H33" s="21" t="str">
        <x:v>Main parking IN, different day from road counter</x:v>
      </x:c>
    </x:row>
    <x:row r="34" ht="28" customHeight="1">
      <x:c r="A34" s="24" t="str">
        <x:v>ParkingMainIN</x:v>
      </x:c>
      <x:c r="B34" s="24" t="str">
        <x:v>06:45–07:00</x:v>
      </x:c>
      <x:c r="C34" s="24" t="n">
        <x:v>15</x:v>
      </x:c>
      <x:c r="D34" s="30" t="n">
        <x:v>25</x:v>
      </x:c>
      <x:c r="E34" s="31" t="n">
        <x:f>IFERROR(D34/C34,0)</x:f>
        <x:v>1.6666666666666667</x:v>
      </x:c>
      <x:c r="F34" s="24" t="str">
        <x:v>FIELD</x:v>
      </x:c>
      <x:c r="G34" s="24" t="str">
        <x:v>16 Sep 2026</x:v>
      </x:c>
      <x:c r="H34" s="24" t="str">
        <x:v>Main parking IN, different day from road counter</x:v>
      </x:c>
    </x:row>
    <x:row r="35" ht="28" customHeight="1">
      <x:c r="A35" s="21" t="str">
        <x:v>ParkingMainIN</x:v>
      </x:c>
      <x:c r="B35" s="21" t="str">
        <x:v>07:00–07:15</x:v>
      </x:c>
      <x:c r="C35" s="21" t="n">
        <x:v>15</x:v>
      </x:c>
      <x:c r="D35" s="30" t="n">
        <x:v>45</x:v>
      </x:c>
      <x:c r="E35" s="31" t="n">
        <x:f>IFERROR(D35/C35,0)</x:f>
        <x:v>3</x:v>
      </x:c>
      <x:c r="F35" s="21" t="str">
        <x:v>FIELD</x:v>
      </x:c>
      <x:c r="G35" s="21" t="str">
        <x:v>16 Sep 2026</x:v>
      </x:c>
      <x:c r="H35" s="21" t="str">
        <x:v>Main parking IN, different day from road counter</x:v>
      </x:c>
    </x:row>
    <x:row r="36" ht="28" customHeight="1">
      <x:c r="A36" s="24" t="str">
        <x:v>ParkingMainIN</x:v>
      </x:c>
      <x:c r="B36" s="24" t="str">
        <x:v>07:15–07:30</x:v>
      </x:c>
      <x:c r="C36" s="24" t="n">
        <x:v>15</x:v>
      </x:c>
      <x:c r="D36" s="30" t="n">
        <x:v>19</x:v>
      </x:c>
      <x:c r="E36" s="31" t="n">
        <x:f>IFERROR(D36/C36,0)</x:f>
        <x:v>1.2666666666666666</x:v>
      </x:c>
      <x:c r="F36" s="24" t="str">
        <x:v>FIELD</x:v>
      </x:c>
      <x:c r="G36" s="24" t="str">
        <x:v>16 Sep 2026</x:v>
      </x:c>
      <x:c r="H36" s="24" t="str">
        <x:v>Main parking IN, different day from road counter</x:v>
      </x:c>
    </x:row>
    <x:row r="37" ht="28" customHeight="1">
      <x:c r="A37" s="21" t="str">
        <x:v>ParkingMainIN</x:v>
      </x:c>
      <x:c r="B37" s="21" t="str">
        <x:v>07:30–07:45</x:v>
      </x:c>
      <x:c r="C37" s="21" t="n">
        <x:v>15</x:v>
      </x:c>
      <x:c r="D37" s="30" t="n">
        <x:v>25</x:v>
      </x:c>
      <x:c r="E37" s="31" t="n">
        <x:f>IFERROR(D37/C37,0)</x:f>
        <x:v>1.6666666666666667</x:v>
      </x:c>
      <x:c r="F37" s="21" t="str">
        <x:v>FIELD</x:v>
      </x:c>
      <x:c r="G37" s="21" t="str">
        <x:v>16 Sep 2026</x:v>
      </x:c>
      <x:c r="H37" s="21" t="str">
        <x:v>Main parking IN, different day from road counter</x:v>
      </x:c>
    </x:row>
    <x:row r="38" ht="28" customHeight="1">
      <x:c r="A38" s="24" t="str">
        <x:v>ParkingMainIN</x:v>
      </x:c>
      <x:c r="B38" s="24" t="str">
        <x:v>07:45–08:00</x:v>
      </x:c>
      <x:c r="C38" s="24" t="n">
        <x:v>15</x:v>
      </x:c>
      <x:c r="D38" s="30" t="n">
        <x:v>13</x:v>
      </x:c>
      <x:c r="E38" s="31" t="n">
        <x:f>IFERROR(D38/C38,0)</x:f>
        <x:v>0.8666666666666667</x:v>
      </x:c>
      <x:c r="F38" s="24" t="str">
        <x:v>FIELD</x:v>
      </x:c>
      <x:c r="G38" s="24" t="str">
        <x:v>16 Sep 2026</x:v>
      </x:c>
      <x:c r="H38" s="24" t="str">
        <x:v>Main parking IN, different day from road counter</x:v>
      </x:c>
    </x:row>
    <x:row r="39" ht="28" customHeight="1">
      <x:c r="A39" s="21" t="str">
        <x:v>ParkingMainIN</x:v>
      </x:c>
      <x:c r="B39" s="21" t="str">
        <x:v>08:00–08:10</x:v>
      </x:c>
      <x:c r="C39" s="21" t="n">
        <x:v>10</x:v>
      </x:c>
      <x:c r="D39" s="30" t="n">
        <x:v>3</x:v>
      </x:c>
      <x:c r="E39" s="31" t="n">
        <x:f>IFERROR(D39/C39,0)</x:f>
        <x:v>0.3</x:v>
      </x:c>
      <x:c r="F39" s="21" t="str">
        <x:v>FIELD</x:v>
      </x:c>
      <x:c r="G39" s="21" t="str">
        <x:v>16 Sep 2026</x:v>
      </x:c>
      <x:c r="H39" s="21" t="str">
        <x:v>Main parking IN, different day from road counter</x:v>
      </x:c>
    </x:row>
    <x:row r="40" ht="28" customHeight="1">
      <x:c r="A40" s="24" t="str">
        <x:v>ParkingMainOUT</x:v>
      </x:c>
      <x:c r="B40" s="24" t="str">
        <x:v>06:30–06:45</x:v>
      </x:c>
      <x:c r="C40" s="24" t="n">
        <x:v>15</x:v>
      </x:c>
      <x:c r="D40" s="30" t="n">
        <x:v>0</x:v>
      </x:c>
      <x:c r="E40" s="31" t="n">
        <x:f>IFERROR(D40/C40,0)</x:f>
        <x:v>0</x:v>
      </x:c>
      <x:c r="F40" s="24" t="str">
        <x:v>FIELD</x:v>
      </x:c>
      <x:c r="G40" s="24" t="str">
        <x:v>16 Sep 2026</x:v>
      </x:c>
      <x:c r="H40" s="24" t="str">
        <x:v>Main parking OUT</x:v>
      </x:c>
    </x:row>
    <x:row r="41" ht="28" customHeight="1">
      <x:c r="A41" s="21" t="str">
        <x:v>ParkingMainOUT</x:v>
      </x:c>
      <x:c r="B41" s="21" t="str">
        <x:v>06:45–07:00</x:v>
      </x:c>
      <x:c r="C41" s="21" t="n">
        <x:v>15</x:v>
      </x:c>
      <x:c r="D41" s="30" t="n">
        <x:v>7</x:v>
      </x:c>
      <x:c r="E41" s="31" t="n">
        <x:f>IFERROR(D41/C41,0)</x:f>
        <x:v>0.4666666666666667</x:v>
      </x:c>
      <x:c r="F41" s="21" t="str">
        <x:v>FIELD</x:v>
      </x:c>
      <x:c r="G41" s="21" t="str">
        <x:v>16 Sep 2026</x:v>
      </x:c>
      <x:c r="H41" s="21" t="str">
        <x:v>Main parking OUT</x:v>
      </x:c>
    </x:row>
    <x:row r="42" ht="28" customHeight="1">
      <x:c r="A42" s="24" t="str">
        <x:v>ParkingMainOUT</x:v>
      </x:c>
      <x:c r="B42" s="24" t="str">
        <x:v>07:00–07:15</x:v>
      </x:c>
      <x:c r="C42" s="24" t="n">
        <x:v>15</x:v>
      </x:c>
      <x:c r="D42" s="30" t="n">
        <x:v>14</x:v>
      </x:c>
      <x:c r="E42" s="31" t="n">
        <x:f>IFERROR(D42/C42,0)</x:f>
        <x:v>0.9333333333333333</x:v>
      </x:c>
      <x:c r="F42" s="24" t="str">
        <x:v>FIELD</x:v>
      </x:c>
      <x:c r="G42" s="24" t="str">
        <x:v>16 Sep 2026</x:v>
      </x:c>
      <x:c r="H42" s="24" t="str">
        <x:v>Main parking OUT</x:v>
      </x:c>
    </x:row>
    <x:row r="43" ht="28" customHeight="1">
      <x:c r="A43" s="21" t="str">
        <x:v>ParkingMainOUT</x:v>
      </x:c>
      <x:c r="B43" s="21" t="str">
        <x:v>07:15–07:30</x:v>
      </x:c>
      <x:c r="C43" s="21" t="n">
        <x:v>15</x:v>
      </x:c>
      <x:c r="D43" s="30" t="n">
        <x:v>10</x:v>
      </x:c>
      <x:c r="E43" s="31" t="n">
        <x:f>IFERROR(D43/C43,0)</x:f>
        <x:v>0.6666666666666666</x:v>
      </x:c>
      <x:c r="F43" s="21" t="str">
        <x:v>FIELD</x:v>
      </x:c>
      <x:c r="G43" s="21" t="str">
        <x:v>16 Sep 2026</x:v>
      </x:c>
      <x:c r="H43" s="21" t="str">
        <x:v>Main parking OUT</x:v>
      </x:c>
    </x:row>
    <x:row r="44" ht="28" customHeight="1">
      <x:c r="A44" s="24" t="str">
        <x:v>ParkingMainOUT</x:v>
      </x:c>
      <x:c r="B44" s="24" t="str">
        <x:v>07:30–07:45</x:v>
      </x:c>
      <x:c r="C44" s="24" t="n">
        <x:v>15</x:v>
      </x:c>
      <x:c r="D44" s="30" t="n">
        <x:v>14</x:v>
      </x:c>
      <x:c r="E44" s="31" t="n">
        <x:f>IFERROR(D44/C44,0)</x:f>
        <x:v>0.9333333333333333</x:v>
      </x:c>
      <x:c r="F44" s="24" t="str">
        <x:v>FIELD</x:v>
      </x:c>
      <x:c r="G44" s="24" t="str">
        <x:v>16 Sep 2026</x:v>
      </x:c>
      <x:c r="H44" s="24" t="str">
        <x:v>Main parking OUT</x:v>
      </x:c>
    </x:row>
    <x:row r="45" ht="28" customHeight="1">
      <x:c r="A45" s="21" t="str">
        <x:v>ParkingMainOUT</x:v>
      </x:c>
      <x:c r="B45" s="21" t="str">
        <x:v>07:45–08:00</x:v>
      </x:c>
      <x:c r="C45" s="21" t="n">
        <x:v>15</x:v>
      </x:c>
      <x:c r="D45" s="30" t="n">
        <x:v>36</x:v>
      </x:c>
      <x:c r="E45" s="31" t="n">
        <x:f>IFERROR(D45/C45,0)</x:f>
        <x:v>2.4</x:v>
      </x:c>
      <x:c r="F45" s="21" t="str">
        <x:v>FIELD</x:v>
      </x:c>
      <x:c r="G45" s="21" t="str">
        <x:v>16 Sep 2026</x:v>
      </x:c>
      <x:c r="H45" s="21" t="str">
        <x:v>Main parking OUT</x:v>
      </x:c>
    </x:row>
    <x:row r="46" ht="28" customHeight="1">
      <x:c r="A46" s="24" t="str">
        <x:v>ParkingMainOUT</x:v>
      </x:c>
      <x:c r="B46" s="24" t="str">
        <x:v>08:00–08:10</x:v>
      </x:c>
      <x:c r="C46" s="24" t="n">
        <x:v>10</x:v>
      </x:c>
      <x:c r="D46" s="30" t="n">
        <x:v>7</x:v>
      </x:c>
      <x:c r="E46" s="31" t="n">
        <x:f>IFERROR(D46/C46,0)</x:f>
        <x:v>0.7</x:v>
      </x:c>
      <x:c r="F46" s="24" t="str">
        <x:v>FIELD</x:v>
      </x:c>
      <x:c r="G46" s="24" t="str">
        <x:v>16 Sep 2026</x:v>
      </x:c>
      <x:c r="H46" s="24" t="str">
        <x:v>Main parking OUT</x:v>
      </x:c>
    </x:row>
    <x:row r="47" ht="28" customHeight="1">
      <x:c r="A47" s="21" t="str">
        <x:v>ParkingSecondIN</x:v>
      </x:c>
      <x:c r="B47" s="21" t="str">
        <x:v>06:30–06:45</x:v>
      </x:c>
      <x:c r="C47" s="21" t="n">
        <x:v>15</x:v>
      </x:c>
      <x:c r="D47" s="30" t="n">
        <x:v>3</x:v>
      </x:c>
      <x:c r="E47" s="31" t="n">
        <x:f>IFERROR(D47/C47,0)</x:f>
        <x:v>0.2</x:v>
      </x:c>
      <x:c r="F47" s="21" t="str">
        <x:v>FIELD</x:v>
      </x:c>
      <x:c r="G47" s="21" t="str">
        <x:v>16 Sep 2026</x:v>
      </x:c>
      <x:c r="H47" s="21" t="str">
        <x:v>Secondary parking IN</x:v>
      </x:c>
    </x:row>
    <x:row r="48" ht="28" customHeight="1">
      <x:c r="A48" s="24" t="str">
        <x:v>ParkingSecondIN</x:v>
      </x:c>
      <x:c r="B48" s="24" t="str">
        <x:v>06:45–07:00</x:v>
      </x:c>
      <x:c r="C48" s="24" t="n">
        <x:v>15</x:v>
      </x:c>
      <x:c r="D48" s="30" t="n">
        <x:v>3</x:v>
      </x:c>
      <x:c r="E48" s="31" t="n">
        <x:f>IFERROR(D48/C48,0)</x:f>
        <x:v>0.2</x:v>
      </x:c>
      <x:c r="F48" s="24" t="str">
        <x:v>FIELD</x:v>
      </x:c>
      <x:c r="G48" s="24" t="str">
        <x:v>16 Sep 2026</x:v>
      </x:c>
      <x:c r="H48" s="24" t="str">
        <x:v>Secondary parking IN</x:v>
      </x:c>
    </x:row>
    <x:row r="49" ht="28" customHeight="1">
      <x:c r="A49" s="21" t="str">
        <x:v>ParkingSecondIN</x:v>
      </x:c>
      <x:c r="B49" s="21" t="str">
        <x:v>07:00–07:15</x:v>
      </x:c>
      <x:c r="C49" s="21" t="n">
        <x:v>15</x:v>
      </x:c>
      <x:c r="D49" s="30" t="n">
        <x:v>6</x:v>
      </x:c>
      <x:c r="E49" s="31" t="n">
        <x:f>IFERROR(D49/C49,0)</x:f>
        <x:v>0.4</x:v>
      </x:c>
      <x:c r="F49" s="21" t="str">
        <x:v>FIELD</x:v>
      </x:c>
      <x:c r="G49" s="21" t="str">
        <x:v>16 Sep 2026</x:v>
      </x:c>
      <x:c r="H49" s="21" t="str">
        <x:v>Secondary parking IN</x:v>
      </x:c>
    </x:row>
    <x:row r="50" ht="28" customHeight="1">
      <x:c r="A50" s="24" t="str">
        <x:v>ParkingSecondIN</x:v>
      </x:c>
      <x:c r="B50" s="24" t="str">
        <x:v>07:15–07:30</x:v>
      </x:c>
      <x:c r="C50" s="24" t="n">
        <x:v>15</x:v>
      </x:c>
      <x:c r="D50" s="30" t="n">
        <x:v>15</x:v>
      </x:c>
      <x:c r="E50" s="31" t="n">
        <x:f>IFERROR(D50/C50,0)</x:f>
        <x:v>1</x:v>
      </x:c>
      <x:c r="F50" s="24" t="str">
        <x:v>FIELD</x:v>
      </x:c>
      <x:c r="G50" s="24" t="str">
        <x:v>16 Sep 2026</x:v>
      </x:c>
      <x:c r="H50" s="24" t="str">
        <x:v>Secondary parking IN</x:v>
      </x:c>
    </x:row>
    <x:row r="51" ht="28" customHeight="1">
      <x:c r="A51" s="21" t="str">
        <x:v>ParkingSecondIN</x:v>
      </x:c>
      <x:c r="B51" s="21" t="str">
        <x:v>07:30–07:45</x:v>
      </x:c>
      <x:c r="C51" s="21" t="n">
        <x:v>15</x:v>
      </x:c>
      <x:c r="D51" s="30" t="n">
        <x:v>12</x:v>
      </x:c>
      <x:c r="E51" s="31" t="n">
        <x:f>IFERROR(D51/C51,0)</x:f>
        <x:v>0.8</x:v>
      </x:c>
      <x:c r="F51" s="21" t="str">
        <x:v>FIELD</x:v>
      </x:c>
      <x:c r="G51" s="21" t="str">
        <x:v>16 Sep 2026</x:v>
      </x:c>
      <x:c r="H51" s="21" t="str">
        <x:v>Secondary parking IN</x:v>
      </x:c>
    </x:row>
    <x:row r="52" ht="28" customHeight="1">
      <x:c r="A52" s="24" t="str">
        <x:v>ParkingSecondIN</x:v>
      </x:c>
      <x:c r="B52" s="24" t="str">
        <x:v>07:45–08:00</x:v>
      </x:c>
      <x:c r="C52" s="24" t="n">
        <x:v>15</x:v>
      </x:c>
      <x:c r="D52" s="30" t="n">
        <x:v>5</x:v>
      </x:c>
      <x:c r="E52" s="31" t="n">
        <x:f>IFERROR(D52/C52,0)</x:f>
        <x:v>0.3333333333333333</x:v>
      </x:c>
      <x:c r="F52" s="24" t="str">
        <x:v>FIELD</x:v>
      </x:c>
      <x:c r="G52" s="24" t="str">
        <x:v>16 Sep 2026</x:v>
      </x:c>
      <x:c r="H52" s="24" t="str">
        <x:v>Secondary parking IN</x:v>
      </x:c>
    </x:row>
    <x:row r="53" ht="28" customHeight="1">
      <x:c r="A53" s="21" t="str">
        <x:v>ParkingSecondIN</x:v>
      </x:c>
      <x:c r="B53" s="21" t="str">
        <x:v>08:00–08:10</x:v>
      </x:c>
      <x:c r="C53" s="21" t="n">
        <x:v>10</x:v>
      </x:c>
      <x:c r="D53" s="30" t="n">
        <x:v>2</x:v>
      </x:c>
      <x:c r="E53" s="31" t="n">
        <x:f>IFERROR(D53/C53,0)</x:f>
        <x:v>0.2</x:v>
      </x:c>
      <x:c r="F53" s="21" t="str">
        <x:v>FIELD</x:v>
      </x:c>
      <x:c r="G53" s="21" t="str">
        <x:v>16 Sep 2026</x:v>
      </x:c>
      <x:c r="H53" s="21" t="str">
        <x:v>Secondary parking IN</x:v>
      </x:c>
    </x:row>
    <x:row r="54" ht="28" customHeight="1">
      <x:c r="A54" s="24" t="str">
        <x:v>ParkingSecondOUT</x:v>
      </x:c>
      <x:c r="B54" s="24" t="str">
        <x:v>06:30–06:45</x:v>
      </x:c>
      <x:c r="C54" s="24" t="n">
        <x:v>15</x:v>
      </x:c>
      <x:c r="D54" s="30" t="n">
        <x:v>1</x:v>
      </x:c>
      <x:c r="E54" s="31" t="n">
        <x:f>IFERROR(D54/C54,0)</x:f>
        <x:v>0.06666666666666667</x:v>
      </x:c>
      <x:c r="F54" s="24" t="str">
        <x:v>FIELD</x:v>
      </x:c>
      <x:c r="G54" s="24" t="str">
        <x:v>16 Sep 2026</x:v>
      </x:c>
      <x:c r="H54" s="24" t="str">
        <x:v>Secondary parking OUT</x:v>
      </x:c>
    </x:row>
    <x:row r="55" ht="28" customHeight="1">
      <x:c r="A55" s="21" t="str">
        <x:v>ParkingSecondOUT</x:v>
      </x:c>
      <x:c r="B55" s="21" t="str">
        <x:v>06:45–07:00</x:v>
      </x:c>
      <x:c r="C55" s="21" t="n">
        <x:v>15</x:v>
      </x:c>
      <x:c r="D55" s="30" t="n">
        <x:v>0</x:v>
      </x:c>
      <x:c r="E55" s="31" t="n">
        <x:f>IFERROR(D55/C55,0)</x:f>
        <x:v>0</x:v>
      </x:c>
      <x:c r="F55" s="21" t="str">
        <x:v>FIELD</x:v>
      </x:c>
      <x:c r="G55" s="21" t="str">
        <x:v>16 Sep 2026</x:v>
      </x:c>
      <x:c r="H55" s="21" t="str">
        <x:v>Secondary parking OUT</x:v>
      </x:c>
    </x:row>
    <x:row r="56" ht="28" customHeight="1">
      <x:c r="A56" s="24" t="str">
        <x:v>ParkingSecondOUT</x:v>
      </x:c>
      <x:c r="B56" s="24" t="str">
        <x:v>07:00–07:15</x:v>
      </x:c>
      <x:c r="C56" s="24" t="n">
        <x:v>15</x:v>
      </x:c>
      <x:c r="D56" s="30" t="n">
        <x:v>0</x:v>
      </x:c>
      <x:c r="E56" s="31" t="n">
        <x:f>IFERROR(D56/C56,0)</x:f>
        <x:v>0</x:v>
      </x:c>
      <x:c r="F56" s="24" t="str">
        <x:v>FIELD</x:v>
      </x:c>
      <x:c r="G56" s="24" t="str">
        <x:v>16 Sep 2026</x:v>
      </x:c>
      <x:c r="H56" s="24" t="str">
        <x:v>Secondary parking OUT</x:v>
      </x:c>
    </x:row>
    <x:row r="57" ht="28" customHeight="1">
      <x:c r="A57" s="21" t="str">
        <x:v>ParkingSecondOUT</x:v>
      </x:c>
      <x:c r="B57" s="21" t="str">
        <x:v>07:15–07:30</x:v>
      </x:c>
      <x:c r="C57" s="21" t="n">
        <x:v>15</x:v>
      </x:c>
      <x:c r="D57" s="30" t="n">
        <x:v>8</x:v>
      </x:c>
      <x:c r="E57" s="31" t="n">
        <x:f>IFERROR(D57/C57,0)</x:f>
        <x:v>0.5333333333333333</x:v>
      </x:c>
      <x:c r="F57" s="21" t="str">
        <x:v>FIELD</x:v>
      </x:c>
      <x:c r="G57" s="21" t="str">
        <x:v>16 Sep 2026</x:v>
      </x:c>
      <x:c r="H57" s="21" t="str">
        <x:v>Secondary parking OUT</x:v>
      </x:c>
    </x:row>
    <x:row r="58" ht="28" customHeight="1">
      <x:c r="A58" s="24" t="str">
        <x:v>ParkingSecondOUT</x:v>
      </x:c>
      <x:c r="B58" s="24" t="str">
        <x:v>07:30–07:45</x:v>
      </x:c>
      <x:c r="C58" s="24" t="n">
        <x:v>15</x:v>
      </x:c>
      <x:c r="D58" s="30" t="n">
        <x:v>8</x:v>
      </x:c>
      <x:c r="E58" s="31" t="n">
        <x:f>IFERROR(D58/C58,0)</x:f>
        <x:v>0.5333333333333333</x:v>
      </x:c>
      <x:c r="F58" s="24" t="str">
        <x:v>FIELD</x:v>
      </x:c>
      <x:c r="G58" s="24" t="str">
        <x:v>16 Sep 2026</x:v>
      </x:c>
      <x:c r="H58" s="24" t="str">
        <x:v>Secondary parking OUT</x:v>
      </x:c>
    </x:row>
    <x:row r="59" ht="28" customHeight="1">
      <x:c r="A59" s="21" t="str">
        <x:v>ParkingSecondOUT</x:v>
      </x:c>
      <x:c r="B59" s="21" t="str">
        <x:v>07:45–08:00</x:v>
      </x:c>
      <x:c r="C59" s="21" t="n">
        <x:v>15</x:v>
      </x:c>
      <x:c r="D59" s="30" t="n">
        <x:v>6</x:v>
      </x:c>
      <x:c r="E59" s="31" t="n">
        <x:f>IFERROR(D59/C59,0)</x:f>
        <x:v>0.4</x:v>
      </x:c>
      <x:c r="F59" s="21" t="str">
        <x:v>FIELD</x:v>
      </x:c>
      <x:c r="G59" s="21" t="str">
        <x:v>16 Sep 2026</x:v>
      </x:c>
      <x:c r="H59" s="21" t="str">
        <x:v>Secondary parking OUT</x:v>
      </x:c>
    </x:row>
    <x:row r="60" ht="28" customHeight="1">
      <x:c r="A60" s="24" t="str">
        <x:v>ParkingSecondOUT</x:v>
      </x:c>
      <x:c r="B60" s="24" t="str">
        <x:v>08:00–08:10</x:v>
      </x:c>
      <x:c r="C60" s="24" t="n">
        <x:v>10</x:v>
      </x:c>
      <x:c r="D60" s="30" t="n">
        <x:v>4</x:v>
      </x:c>
      <x:c r="E60" s="31" t="n">
        <x:f>IFERROR(D60/C60,0)</x:f>
        <x:v>0.4</x:v>
      </x:c>
      <x:c r="F60" s="24" t="str">
        <x:v>FIELD</x:v>
      </x:c>
      <x:c r="G60" s="24" t="str">
        <x:v>16 Sep 2026</x:v>
      </x:c>
      <x:c r="H60" s="24" t="str">
        <x:v>Secondary parking OUT</x:v>
      </x:c>
    </x:row>
    <x:row r="61" ht="28" customHeight="1">
      <x:c r="A61" s="21" t="str">
        <x:v>SecondDropoff</x:v>
      </x:c>
      <x:c r="B61" s="21" t="str">
        <x:v>06:30–06:45</x:v>
      </x:c>
      <x:c r="C61" s="21" t="n">
        <x:v>15</x:v>
      </x:c>
      <x:c r="D61" s="30" t="n">
        <x:v>4</x:v>
      </x:c>
      <x:c r="E61" s="31" t="n">
        <x:f>IFERROR(D61/C61,0)</x:f>
        <x:v>0.26666666666666666</x:v>
      </x:c>
      <x:c r="F61" s="21" t="str">
        <x:v>MOCK</x:v>
      </x:c>
      <x:c r="G61" s="21" t="str">
        <x:v>Provisional</x:v>
      </x:c>
      <x:c r="H61" s="21" t="str">
        <x:v>Target count among left-turning cars; NOT new CarSource</x:v>
      </x:c>
    </x:row>
    <x:row r="62" ht="28" customHeight="1">
      <x:c r="A62" s="24" t="str">
        <x:v>SecondDropoff</x:v>
      </x:c>
      <x:c r="B62" s="24" t="str">
        <x:v>06:45–07:00</x:v>
      </x:c>
      <x:c r="C62" s="24" t="n">
        <x:v>15</x:v>
      </x:c>
      <x:c r="D62" s="30" t="n">
        <x:v>10</x:v>
      </x:c>
      <x:c r="E62" s="31" t="n">
        <x:f>IFERROR(D62/C62,0)</x:f>
        <x:v>0.6666666666666666</x:v>
      </x:c>
      <x:c r="F62" s="24" t="str">
        <x:v>MOCK</x:v>
      </x:c>
      <x:c r="G62" s="24" t="str">
        <x:v>Provisional</x:v>
      </x:c>
      <x:c r="H62" s="24" t="str">
        <x:v>Target count among left-turning cars; NOT new CarSource</x:v>
      </x:c>
    </x:row>
    <x:row r="63" ht="28" customHeight="1">
      <x:c r="A63" s="21" t="str">
        <x:v>SecondDropoff</x:v>
      </x:c>
      <x:c r="B63" s="21" t="str">
        <x:v>07:00–07:15</x:v>
      </x:c>
      <x:c r="C63" s="21" t="n">
        <x:v>15</x:v>
      </x:c>
      <x:c r="D63" s="30" t="n">
        <x:v>15</x:v>
      </x:c>
      <x:c r="E63" s="31" t="n">
        <x:f>IFERROR(D63/C63,0)</x:f>
        <x:v>1</x:v>
      </x:c>
      <x:c r="F63" s="21" t="str">
        <x:v>MOCK</x:v>
      </x:c>
      <x:c r="G63" s="21" t="str">
        <x:v>Provisional</x:v>
      </x:c>
      <x:c r="H63" s="21" t="str">
        <x:v>Target count among left-turning cars; NOT new CarSource</x:v>
      </x:c>
    </x:row>
    <x:row r="64" ht="28" customHeight="1">
      <x:c r="A64" s="24" t="str">
        <x:v>SecondDropoff</x:v>
      </x:c>
      <x:c r="B64" s="24" t="str">
        <x:v>07:15–07:30</x:v>
      </x:c>
      <x:c r="C64" s="24" t="n">
        <x:v>15</x:v>
      </x:c>
      <x:c r="D64" s="30" t="n">
        <x:v>22</x:v>
      </x:c>
      <x:c r="E64" s="31" t="n">
        <x:f>IFERROR(D64/C64,0)</x:f>
        <x:v>1.4666666666666666</x:v>
      </x:c>
      <x:c r="F64" s="24" t="str">
        <x:v>MOCK</x:v>
      </x:c>
      <x:c r="G64" s="24" t="str">
        <x:v>Provisional</x:v>
      </x:c>
      <x:c r="H64" s="24" t="str">
        <x:v>Target count among left-turning cars; NOT new CarSource</x:v>
      </x:c>
    </x:row>
    <x:row r="65" ht="28" customHeight="1">
      <x:c r="A65" s="21" t="str">
        <x:v>SecondDropoff</x:v>
      </x:c>
      <x:c r="B65" s="21" t="str">
        <x:v>07:30–07:45</x:v>
      </x:c>
      <x:c r="C65" s="21" t="n">
        <x:v>15</x:v>
      </x:c>
      <x:c r="D65" s="30" t="n">
        <x:v>23</x:v>
      </x:c>
      <x:c r="E65" s="31" t="n">
        <x:f>IFERROR(D65/C65,0)</x:f>
        <x:v>1.5333333333333334</x:v>
      </x:c>
      <x:c r="F65" s="21" t="str">
        <x:v>MOCK</x:v>
      </x:c>
      <x:c r="G65" s="21" t="str">
        <x:v>Provisional</x:v>
      </x:c>
      <x:c r="H65" s="21" t="str">
        <x:v>Target count among left-turning cars; NOT new CarSource</x:v>
      </x:c>
    </x:row>
    <x:row r="66" ht="28" customHeight="1">
      <x:c r="A66" s="24" t="str">
        <x:v>SecondDropoff</x:v>
      </x:c>
      <x:c r="B66" s="24" t="str">
        <x:v>07:45–08:00</x:v>
      </x:c>
      <x:c r="C66" s="24" t="n">
        <x:v>15</x:v>
      </x:c>
      <x:c r="D66" s="30" t="n">
        <x:v>29</x:v>
      </x:c>
      <x:c r="E66" s="31" t="n">
        <x:f>IFERROR(D66/C66,0)</x:f>
        <x:v>1.9333333333333333</x:v>
      </x:c>
      <x:c r="F66" s="24" t="str">
        <x:v>MOCK</x:v>
      </x:c>
      <x:c r="G66" s="24" t="str">
        <x:v>Provisional</x:v>
      </x:c>
      <x:c r="H66" s="24" t="str">
        <x:v>Target count among left-turning cars; NOT new CarSource</x:v>
      </x:c>
    </x:row>
    <x:row r="67" ht="28" customHeight="1">
      <x:c r="A67" s="21" t="str">
        <x:v>SecondDropoff</x:v>
      </x:c>
      <x:c r="B67" s="21" t="str">
        <x:v>08:00–08:10</x:v>
      </x:c>
      <x:c r="C67" s="21" t="n">
        <x:v>10</x:v>
      </x:c>
      <x:c r="D67" s="30" t="n">
        <x:v>2</x:v>
      </x:c>
      <x:c r="E67" s="31" t="n">
        <x:f>IFERROR(D67/C67,0)</x:f>
        <x:v>0.2</x:v>
      </x:c>
      <x:c r="F67" s="21" t="str">
        <x:v>MOCK</x:v>
      </x:c>
      <x:c r="G67" s="21" t="str">
        <x:v>Provisional</x:v>
      </x:c>
      <x:c r="H67" s="21" t="str">
        <x:v>Target count among left-turning cars; NOT new CarSource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8" hidden="0" customWidth="1"/>
    <x:col min="5" max="5" width="22" hidden="0" customWidth="1"/>
    <x:col min="6" max="6" width="18" hidden="0" customWidth="1"/>
    <x:col min="7" max="7" width="17" hidden="0" customWidth="1"/>
    <x:col min="8" max="8" width="53" hidden="0" customWidth="1"/>
  </x:cols>
  <x:sheetData>
    <x:row r="1" ht="22" customHeight="1">
      <x:c r="A1" s="4" t="str">
        <x:v>02  •  MODEL SNAPSHOT — RAW SCHEDULE VALUES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9" t="str">
        <x:v>Do not edit this sheet: records exact first-day values/units present in the latest uploaded .alp. Repeated weekly calendar entries are collapsed to the first day.</x:v>
      </x:c>
      <x:c r="B3" s="9"/>
      <x:c r="C3" s="9"/>
      <x:c r="D3" s="9"/>
      <x:c r="E3" s="9"/>
      <x:c r="F3" s="9"/>
      <x:c r="G3" s="9"/>
      <x:c r="H3" s="9"/>
    </x:row>
    <x:row r="4" ht="34" customHeight="1">
      <x:c r="A4" s="15" t="str">
        <x:v>AnyLogic schedule</x:v>
      </x:c>
      <x:c r="B4" s="15" t="str">
        <x:v>From</x:v>
      </x:c>
      <x:c r="C4" s="15" t="str">
        <x:v>To</x:v>
      </x:c>
      <x:c r="D4" s="15" t="str">
        <x:v>Duration min</x:v>
      </x:c>
      <x:c r="E4" s="15" t="str">
        <x:v>Value in .alp</x:v>
      </x:c>
      <x:c r="F4" s="15" t="str">
        <x:v>Unit in .alp</x:v>
      </x:c>
      <x:c r="G4" s="15" t="str">
        <x:v>Run window</x:v>
      </x:c>
      <x:c r="H4" s="15" t="str">
        <x:v>Source</x:v>
      </x:c>
    </x:row>
    <x:row r="5" ht="23" customHeight="1">
      <x:c r="A5" s="21" t="str">
        <x:v>pedRateSchedule</x:v>
      </x:c>
      <x:c r="B5" s="21" t="str">
        <x:v>06:30</x:v>
      </x:c>
      <x:c r="C5" s="21" t="str">
        <x:v>06:45</x:v>
      </x:c>
      <x:c r="D5" s="21" t="n">
        <x:v>15</x:v>
      </x:c>
      <x:c r="E5" s="34" t="n">
        <x:v>2.0667</x:v>
      </x:c>
      <x:c r="F5" s="21" t="str">
        <x:v>PER_MINUTE</x:v>
      </x:c>
      <x:c r="G5" s="21" t="str">
        <x:v>IN RUN</x:v>
      </x:c>
      <x:c r="H5" s="21" t="str">
        <x:v>Satit Chula Crossing final proj(1).alp</x:v>
      </x:c>
    </x:row>
    <x:row r="6" ht="23" customHeight="1">
      <x:c r="A6" s="24" t="str">
        <x:v>pedRateSchedule</x:v>
      </x:c>
      <x:c r="B6" s="24" t="str">
        <x:v>06:45</x:v>
      </x:c>
      <x:c r="C6" s="24" t="str">
        <x:v>07:00</x:v>
      </x:c>
      <x:c r="D6" s="24" t="n">
        <x:v>15</x:v>
      </x:c>
      <x:c r="E6" s="35" t="n">
        <x:v>5.4667</x:v>
      </x:c>
      <x:c r="F6" s="24" t="str">
        <x:v>PER_MINUTE</x:v>
      </x:c>
      <x:c r="G6" s="24" t="str">
        <x:v>IN RUN</x:v>
      </x:c>
      <x:c r="H6" s="24" t="str">
        <x:v>Satit Chula Crossing final proj(1).alp</x:v>
      </x:c>
    </x:row>
    <x:row r="7" ht="23" customHeight="1">
      <x:c r="A7" s="21" t="str">
        <x:v>pedRateSchedule</x:v>
      </x:c>
      <x:c r="B7" s="21" t="str">
        <x:v>07:00</x:v>
      </x:c>
      <x:c r="C7" s="21" t="str">
        <x:v>07:15</x:v>
      </x:c>
      <x:c r="D7" s="21" t="n">
        <x:v>15</x:v>
      </x:c>
      <x:c r="E7" s="34" t="n">
        <x:v>8.6</x:v>
      </x:c>
      <x:c r="F7" s="21" t="str">
        <x:v>PER_MINUTE</x:v>
      </x:c>
      <x:c r="G7" s="21" t="str">
        <x:v>IN RUN</x:v>
      </x:c>
      <x:c r="H7" s="21" t="str">
        <x:v>Satit Chula Crossing final proj(1).alp</x:v>
      </x:c>
    </x:row>
    <x:row r="8" ht="23" customHeight="1">
      <x:c r="A8" s="24" t="str">
        <x:v>pedRateSchedule</x:v>
      </x:c>
      <x:c r="B8" s="24" t="str">
        <x:v>07:15</x:v>
      </x:c>
      <x:c r="C8" s="24" t="str">
        <x:v>07:30</x:v>
      </x:c>
      <x:c r="D8" s="24" t="n">
        <x:v>15</x:v>
      </x:c>
      <x:c r="E8" s="35" t="n">
        <x:v>12.2</x:v>
      </x:c>
      <x:c r="F8" s="24" t="str">
        <x:v>PER_MINUTE</x:v>
      </x:c>
      <x:c r="G8" s="24" t="str">
        <x:v>IN RUN</x:v>
      </x:c>
      <x:c r="H8" s="24" t="str">
        <x:v>Satit Chula Crossing final proj(1).alp</x:v>
      </x:c>
    </x:row>
    <x:row r="9" ht="23" customHeight="1">
      <x:c r="A9" s="21" t="str">
        <x:v>pedRateSchedule</x:v>
      </x:c>
      <x:c r="B9" s="21" t="str">
        <x:v>07:30</x:v>
      </x:c>
      <x:c r="C9" s="21" t="str">
        <x:v>07:45</x:v>
      </x:c>
      <x:c r="D9" s="21" t="n">
        <x:v>15</x:v>
      </x:c>
      <x:c r="E9" s="34" t="n">
        <x:v>13.2</x:v>
      </x:c>
      <x:c r="F9" s="21" t="str">
        <x:v>PER_MINUTE</x:v>
      </x:c>
      <x:c r="G9" s="21" t="str">
        <x:v>IN RUN</x:v>
      </x:c>
      <x:c r="H9" s="21" t="str">
        <x:v>Satit Chula Crossing final proj(1).alp</x:v>
      </x:c>
    </x:row>
    <x:row r="10" ht="23" customHeight="1">
      <x:c r="A10" s="24" t="str">
        <x:v>pedRateSchedule</x:v>
      </x:c>
      <x:c r="B10" s="24" t="str">
        <x:v>07:45</x:v>
      </x:c>
      <x:c r="C10" s="24" t="str">
        <x:v>08:00</x:v>
      </x:c>
      <x:c r="D10" s="24" t="n">
        <x:v>15</x:v>
      </x:c>
      <x:c r="E10" s="35" t="n">
        <x:v>16.7333</x:v>
      </x:c>
      <x:c r="F10" s="24" t="str">
        <x:v>PER_MINUTE</x:v>
      </x:c>
      <x:c r="G10" s="24" t="str">
        <x:v>IN RUN</x:v>
      </x:c>
      <x:c r="H10" s="24" t="str">
        <x:v>Satit Chula Crossing final proj(1).alp</x:v>
      </x:c>
    </x:row>
    <x:row r="11" ht="23" customHeight="1">
      <x:c r="A11" s="21" t="str">
        <x:v>pedRateSchedule</x:v>
      </x:c>
      <x:c r="B11" s="21" t="str">
        <x:v>08:00</x:v>
      </x:c>
      <x:c r="C11" s="21" t="str">
        <x:v>08:10</x:v>
      </x:c>
      <x:c r="D11" s="21" t="n">
        <x:v>10</x:v>
      </x:c>
      <x:c r="E11" s="34" t="n">
        <x:v>1.5</x:v>
      </x:c>
      <x:c r="F11" s="21" t="str">
        <x:v>PER_MINUTE</x:v>
      </x:c>
      <x:c r="G11" s="21" t="str">
        <x:v>IN RUN</x:v>
      </x:c>
      <x:c r="H11" s="21" t="str">
        <x:v>Satit Chula Crossing final proj(1).alp</x:v>
      </x:c>
    </x:row>
    <x:row r="12" ht="23" customHeight="1">
      <x:c r="A12" s="24" t="str">
        <x:v>carRateSchedule_Left</x:v>
      </x:c>
      <x:c r="B12" s="24" t="str">
        <x:v>06:30</x:v>
      </x:c>
      <x:c r="C12" s="24" t="str">
        <x:v>06:45</x:v>
      </x:c>
      <x:c r="D12" s="24" t="n">
        <x:v>15</x:v>
      </x:c>
      <x:c r="E12" s="35" t="n">
        <x:v>152</x:v>
      </x:c>
      <x:c r="F12" s="24" t="str">
        <x:v>PER_MINUTE</x:v>
      </x:c>
      <x:c r="G12" s="24" t="str">
        <x:v>IN RUN</x:v>
      </x:c>
      <x:c r="H12" s="24" t="str">
        <x:v>Satit Chula Crossing final proj(1).alp</x:v>
      </x:c>
    </x:row>
    <x:row r="13" ht="23" customHeight="1">
      <x:c r="A13" s="21" t="str">
        <x:v>carRateSchedule_Left</x:v>
      </x:c>
      <x:c r="B13" s="21" t="str">
        <x:v>06:45</x:v>
      </x:c>
      <x:c r="C13" s="21" t="str">
        <x:v>07:00</x:v>
      </x:c>
      <x:c r="D13" s="21" t="n">
        <x:v>15</x:v>
      </x:c>
      <x:c r="E13" s="34" t="n">
        <x:v>220</x:v>
      </x:c>
      <x:c r="F13" s="21" t="str">
        <x:v>PER_MINUTE</x:v>
      </x:c>
      <x:c r="G13" s="21" t="str">
        <x:v>IN RUN</x:v>
      </x:c>
      <x:c r="H13" s="21" t="str">
        <x:v>Satit Chula Crossing final proj(1).alp</x:v>
      </x:c>
    </x:row>
    <x:row r="14" ht="23" customHeight="1">
      <x:c r="A14" s="24" t="str">
        <x:v>carRateSchedule_Left</x:v>
      </x:c>
      <x:c r="B14" s="24" t="str">
        <x:v>07:00</x:v>
      </x:c>
      <x:c r="C14" s="24" t="str">
        <x:v>07:15</x:v>
      </x:c>
      <x:c r="D14" s="24" t="n">
        <x:v>15</x:v>
      </x:c>
      <x:c r="E14" s="35" t="n">
        <x:v>264</x:v>
      </x:c>
      <x:c r="F14" s="24" t="str">
        <x:v>PER_MINUTE</x:v>
      </x:c>
      <x:c r="G14" s="24" t="str">
        <x:v>IN RUN</x:v>
      </x:c>
      <x:c r="H14" s="24" t="str">
        <x:v>Satit Chula Crossing final proj(1).alp</x:v>
      </x:c>
    </x:row>
    <x:row r="15" ht="23" customHeight="1">
      <x:c r="A15" s="21" t="str">
        <x:v>carRateSchedule_Left</x:v>
      </x:c>
      <x:c r="B15" s="21" t="str">
        <x:v>07:15</x:v>
      </x:c>
      <x:c r="C15" s="21" t="str">
        <x:v>07:30</x:v>
      </x:c>
      <x:c r="D15" s="21" t="n">
        <x:v>15</x:v>
      </x:c>
      <x:c r="E15" s="34" t="n">
        <x:v>280</x:v>
      </x:c>
      <x:c r="F15" s="21" t="str">
        <x:v>PER_MINUTE</x:v>
      </x:c>
      <x:c r="G15" s="21" t="str">
        <x:v>IN RUN</x:v>
      </x:c>
      <x:c r="H15" s="21" t="str">
        <x:v>Satit Chula Crossing final proj(1).alp</x:v>
      </x:c>
    </x:row>
    <x:row r="16" ht="23" customHeight="1">
      <x:c r="A16" s="24" t="str">
        <x:v>carRateSchedule_Left</x:v>
      </x:c>
      <x:c r="B16" s="24" t="str">
        <x:v>07:30</x:v>
      </x:c>
      <x:c r="C16" s="24" t="str">
        <x:v>07:45</x:v>
      </x:c>
      <x:c r="D16" s="24" t="n">
        <x:v>15</x:v>
      </x:c>
      <x:c r="E16" s="35" t="n">
        <x:v>300</x:v>
      </x:c>
      <x:c r="F16" s="24" t="str">
        <x:v>PER_MINUTE</x:v>
      </x:c>
      <x:c r="G16" s="24" t="str">
        <x:v>IN RUN</x:v>
      </x:c>
      <x:c r="H16" s="24" t="str">
        <x:v>Satit Chula Crossing final proj(1).alp</x:v>
      </x:c>
    </x:row>
    <x:row r="17" ht="23" customHeight="1">
      <x:c r="A17" s="21" t="str">
        <x:v>carRateSchedule_Left</x:v>
      </x:c>
      <x:c r="B17" s="21" t="str">
        <x:v>07:45</x:v>
      </x:c>
      <x:c r="C17" s="21" t="str">
        <x:v>08:00</x:v>
      </x:c>
      <x:c r="D17" s="21" t="n">
        <x:v>15</x:v>
      </x:c>
      <x:c r="E17" s="34" t="n">
        <x:v>344</x:v>
      </x:c>
      <x:c r="F17" s="21" t="str">
        <x:v>PER_MINUTE</x:v>
      </x:c>
      <x:c r="G17" s="21" t="str">
        <x:v>IN RUN</x:v>
      </x:c>
      <x:c r="H17" s="21" t="str">
        <x:v>Satit Chula Crossing final proj(1).alp</x:v>
      </x:c>
    </x:row>
    <x:row r="18" ht="23" customHeight="1">
      <x:c r="A18" s="24" t="str">
        <x:v>carRateSchedule_Left</x:v>
      </x:c>
      <x:c r="B18" s="24" t="str">
        <x:v>08:00</x:v>
      </x:c>
      <x:c r="C18" s="24" t="str">
        <x:v>08:15</x:v>
      </x:c>
      <x:c r="D18" s="24" t="n">
        <x:v>15</x:v>
      </x:c>
      <x:c r="E18" s="35" t="n">
        <x:v>116</x:v>
      </x:c>
      <x:c r="F18" s="24" t="str">
        <x:v>PER_MINUTE</x:v>
      </x:c>
      <x:c r="G18" s="24" t="str">
        <x:v>IN RUN</x:v>
      </x:c>
      <x:c r="H18" s="24" t="str">
        <x:v>Satit Chula Crossing final proj(1).alp</x:v>
      </x:c>
    </x:row>
    <x:row r="19" ht="23" customHeight="1">
      <x:c r="A19" s="21" t="str">
        <x:v>carRateSchedule_Left</x:v>
      </x:c>
      <x:c r="B19" s="21" t="str">
        <x:v>08:15</x:v>
      </x:c>
      <x:c r="C19" s="21" t="str">
        <x:v>08:30</x:v>
      </x:c>
      <x:c r="D19" s="21" t="n">
        <x:v>15</x:v>
      </x:c>
      <x:c r="E19" s="34" t="n">
        <x:v>4</x:v>
      </x:c>
      <x:c r="F19" s="21" t="str">
        <x:v>PER_MINUTE</x:v>
      </x:c>
      <x:c r="G19" s="21" t="str">
        <x:v>AFTER RUN</x:v>
      </x:c>
      <x:c r="H19" s="21" t="str">
        <x:v>Satit Chula Crossing final proj(1).alp</x:v>
      </x:c>
    </x:row>
    <x:row r="20" ht="23" customHeight="1">
      <x:c r="A20" s="24" t="str">
        <x:v>carRateSchedule_Right</x:v>
      </x:c>
      <x:c r="B20" s="24" t="str">
        <x:v>06:30</x:v>
      </x:c>
      <x:c r="C20" s="24" t="str">
        <x:v>06:45</x:v>
      </x:c>
      <x:c r="D20" s="24" t="n">
        <x:v>15</x:v>
      </x:c>
      <x:c r="E20" s="35" t="n">
        <x:v>48</x:v>
      </x:c>
      <x:c r="F20" s="24" t="str">
        <x:v>PER_MINUTE</x:v>
      </x:c>
      <x:c r="G20" s="24" t="str">
        <x:v>IN RUN</x:v>
      </x:c>
      <x:c r="H20" s="24" t="str">
        <x:v>Satit Chula Crossing final proj(1).alp</x:v>
      </x:c>
    </x:row>
    <x:row r="21" ht="23" customHeight="1">
      <x:c r="A21" s="21" t="str">
        <x:v>carRateSchedule_Right</x:v>
      </x:c>
      <x:c r="B21" s="21" t="str">
        <x:v>06:45</x:v>
      </x:c>
      <x:c r="C21" s="21" t="str">
        <x:v>07:00</x:v>
      </x:c>
      <x:c r="D21" s="21" t="n">
        <x:v>15</x:v>
      </x:c>
      <x:c r="E21" s="34" t="n">
        <x:v>110</x:v>
      </x:c>
      <x:c r="F21" s="21" t="str">
        <x:v>PER_MINUTE</x:v>
      </x:c>
      <x:c r="G21" s="21" t="str">
        <x:v>IN RUN</x:v>
      </x:c>
      <x:c r="H21" s="21" t="str">
        <x:v>Satit Chula Crossing final proj(1).alp</x:v>
      </x:c>
    </x:row>
    <x:row r="22" ht="23" customHeight="1">
      <x:c r="A22" s="24" t="str">
        <x:v>carRateSchedule_Right</x:v>
      </x:c>
      <x:c r="B22" s="24" t="str">
        <x:v>07:00</x:v>
      </x:c>
      <x:c r="C22" s="24" t="str">
        <x:v>07:15</x:v>
      </x:c>
      <x:c r="D22" s="24" t="n">
        <x:v>15</x:v>
      </x:c>
      <x:c r="E22" s="35" t="n">
        <x:v>220</x:v>
      </x:c>
      <x:c r="F22" s="24" t="str">
        <x:v>PER_MINUTE</x:v>
      </x:c>
      <x:c r="G22" s="24" t="str">
        <x:v>IN RUN</x:v>
      </x:c>
      <x:c r="H22" s="24" t="str">
        <x:v>Satit Chula Crossing final proj(1).alp</x:v>
      </x:c>
    </x:row>
    <x:row r="23" ht="23" customHeight="1">
      <x:c r="A23" s="21" t="str">
        <x:v>carRateSchedule_Right</x:v>
      </x:c>
      <x:c r="B23" s="21" t="str">
        <x:v>07:15</x:v>
      </x:c>
      <x:c r="C23" s="21" t="str">
        <x:v>07:30</x:v>
      </x:c>
      <x:c r="D23" s="21" t="n">
        <x:v>15</x:v>
      </x:c>
      <x:c r="E23" s="34" t="n">
        <x:v>332</x:v>
      </x:c>
      <x:c r="F23" s="21" t="str">
        <x:v>PER_MINUTE</x:v>
      </x:c>
      <x:c r="G23" s="21" t="str">
        <x:v>IN RUN</x:v>
      </x:c>
      <x:c r="H23" s="21" t="str">
        <x:v>Satit Chula Crossing final proj(1).alp</x:v>
      </x:c>
    </x:row>
    <x:row r="24" ht="23" customHeight="1">
      <x:c r="A24" s="24" t="str">
        <x:v>carRateSchedule_Right</x:v>
      </x:c>
      <x:c r="B24" s="24" t="str">
        <x:v>07:30</x:v>
      </x:c>
      <x:c r="C24" s="24" t="str">
        <x:v>07:45</x:v>
      </x:c>
      <x:c r="D24" s="24" t="n">
        <x:v>15</x:v>
      </x:c>
      <x:c r="E24" s="35" t="n">
        <x:v>260</x:v>
      </x:c>
      <x:c r="F24" s="24" t="str">
        <x:v>PER_MINUTE</x:v>
      </x:c>
      <x:c r="G24" s="24" t="str">
        <x:v>IN RUN</x:v>
      </x:c>
      <x:c r="H24" s="24" t="str">
        <x:v>Satit Chula Crossing final proj(1).alp</x:v>
      </x:c>
    </x:row>
    <x:row r="25" ht="23" customHeight="1">
      <x:c r="A25" s="21" t="str">
        <x:v>carRateSchedule_Right</x:v>
      </x:c>
      <x:c r="B25" s="21" t="str">
        <x:v>07:45</x:v>
      </x:c>
      <x:c r="C25" s="21" t="str">
        <x:v>08:00</x:v>
      </x:c>
      <x:c r="D25" s="21" t="n">
        <x:v>15</x:v>
      </x:c>
      <x:c r="E25" s="34" t="n">
        <x:v>320</x:v>
      </x:c>
      <x:c r="F25" s="21" t="str">
        <x:v>PER_MINUTE</x:v>
      </x:c>
      <x:c r="G25" s="21" t="str">
        <x:v>IN RUN</x:v>
      </x:c>
      <x:c r="H25" s="21" t="str">
        <x:v>Satit Chula Crossing final proj(1).alp</x:v>
      </x:c>
    </x:row>
    <x:row r="26" ht="23" customHeight="1">
      <x:c r="A26" s="24" t="str">
        <x:v>carRateSchedule_Right</x:v>
      </x:c>
      <x:c r="B26" s="24" t="str">
        <x:v>08:00</x:v>
      </x:c>
      <x:c r="C26" s="24" t="str">
        <x:v>08:15</x:v>
      </x:c>
      <x:c r="D26" s="24" t="n">
        <x:v>15</x:v>
      </x:c>
      <x:c r="E26" s="35" t="n">
        <x:v>196</x:v>
      </x:c>
      <x:c r="F26" s="24" t="str">
        <x:v>PER_MINUTE</x:v>
      </x:c>
      <x:c r="G26" s="24" t="str">
        <x:v>IN RUN</x:v>
      </x:c>
      <x:c r="H26" s="24" t="str">
        <x:v>Satit Chula Crossing final proj(1).alp</x:v>
      </x:c>
    </x:row>
    <x:row r="27" ht="23" customHeight="1">
      <x:c r="A27" s="21" t="str">
        <x:v>carRateSchedule_Right</x:v>
      </x:c>
      <x:c r="B27" s="21" t="str">
        <x:v>08:15</x:v>
      </x:c>
      <x:c r="C27" s="21" t="str">
        <x:v>08:30</x:v>
      </x:c>
      <x:c r="D27" s="21" t="n">
        <x:v>15</x:v>
      </x:c>
      <x:c r="E27" s="34" t="n">
        <x:v>4</x:v>
      </x:c>
      <x:c r="F27" s="21" t="str">
        <x:v>PER_MINUTE</x:v>
      </x:c>
      <x:c r="G27" s="21" t="str">
        <x:v>AFTER RUN</x:v>
      </x:c>
      <x:c r="H27" s="21" t="str">
        <x:v>Satit Chula Crossing final proj(1).alp</x:v>
      </x:c>
    </x:row>
    <x:row r="28" ht="23" customHeight="1">
      <x:c r="A28" s="24" t="str">
        <x:v>mainParkingInSchedule</x:v>
      </x:c>
      <x:c r="B28" s="24" t="str">
        <x:v>06:30</x:v>
      </x:c>
      <x:c r="C28" s="24" t="str">
        <x:v>06:45</x:v>
      </x:c>
      <x:c r="D28" s="24" t="n">
        <x:v>15</x:v>
      </x:c>
      <x:c r="E28" s="35" t="n">
        <x:v>1.4</x:v>
      </x:c>
      <x:c r="F28" s="24" t="str">
        <x:v>PER_MINUTE</x:v>
      </x:c>
      <x:c r="G28" s="24" t="str">
        <x:v>IN RUN</x:v>
      </x:c>
      <x:c r="H28" s="24" t="str">
        <x:v>Satit Chula Crossing final proj(1).alp</x:v>
      </x:c>
    </x:row>
    <x:row r="29" ht="23" customHeight="1">
      <x:c r="A29" s="21" t="str">
        <x:v>mainParkingInSchedule</x:v>
      </x:c>
      <x:c r="B29" s="21" t="str">
        <x:v>06:45</x:v>
      </x:c>
      <x:c r="C29" s="21" t="str">
        <x:v>07:00</x:v>
      </x:c>
      <x:c r="D29" s="21" t="n">
        <x:v>15</x:v>
      </x:c>
      <x:c r="E29" s="34" t="n">
        <x:v>1.667</x:v>
      </x:c>
      <x:c r="F29" s="21" t="str">
        <x:v>PER_MINUTE</x:v>
      </x:c>
      <x:c r="G29" s="21" t="str">
        <x:v>IN RUN</x:v>
      </x:c>
      <x:c r="H29" s="21" t="str">
        <x:v>Satit Chula Crossing final proj(1).alp</x:v>
      </x:c>
    </x:row>
    <x:row r="30" ht="23" customHeight="1">
      <x:c r="A30" s="24" t="str">
        <x:v>mainParkingInSchedule</x:v>
      </x:c>
      <x:c r="B30" s="24" t="str">
        <x:v>07:00</x:v>
      </x:c>
      <x:c r="C30" s="24" t="str">
        <x:v>07:15</x:v>
      </x:c>
      <x:c r="D30" s="24" t="n">
        <x:v>15</x:v>
      </x:c>
      <x:c r="E30" s="35" t="n">
        <x:v>3</x:v>
      </x:c>
      <x:c r="F30" s="24" t="str">
        <x:v>PER_MINUTE</x:v>
      </x:c>
      <x:c r="G30" s="24" t="str">
        <x:v>IN RUN</x:v>
      </x:c>
      <x:c r="H30" s="24" t="str">
        <x:v>Satit Chula Crossing final proj(1).alp</x:v>
      </x:c>
    </x:row>
    <x:row r="31" ht="23" customHeight="1">
      <x:c r="A31" s="21" t="str">
        <x:v>mainParkingInSchedule</x:v>
      </x:c>
      <x:c r="B31" s="21" t="str">
        <x:v>07:15</x:v>
      </x:c>
      <x:c r="C31" s="21" t="str">
        <x:v>07:30</x:v>
      </x:c>
      <x:c r="D31" s="21" t="n">
        <x:v>15</x:v>
      </x:c>
      <x:c r="E31" s="34" t="n">
        <x:v>1.267</x:v>
      </x:c>
      <x:c r="F31" s="21" t="str">
        <x:v>PER_MINUTE</x:v>
      </x:c>
      <x:c r="G31" s="21" t="str">
        <x:v>IN RUN</x:v>
      </x:c>
      <x:c r="H31" s="21" t="str">
        <x:v>Satit Chula Crossing final proj(1).alp</x:v>
      </x:c>
    </x:row>
    <x:row r="32" ht="23" customHeight="1">
      <x:c r="A32" s="24" t="str">
        <x:v>mainParkingInSchedule</x:v>
      </x:c>
      <x:c r="B32" s="24" t="str">
        <x:v>07:30</x:v>
      </x:c>
      <x:c r="C32" s="24" t="str">
        <x:v>07:45</x:v>
      </x:c>
      <x:c r="D32" s="24" t="n">
        <x:v>15</x:v>
      </x:c>
      <x:c r="E32" s="35" t="n">
        <x:v>1.667</x:v>
      </x:c>
      <x:c r="F32" s="24" t="str">
        <x:v>PER_MINUTE</x:v>
      </x:c>
      <x:c r="G32" s="24" t="str">
        <x:v>IN RUN</x:v>
      </x:c>
      <x:c r="H32" s="24" t="str">
        <x:v>Satit Chula Crossing final proj(1).alp</x:v>
      </x:c>
    </x:row>
    <x:row r="33" ht="23" customHeight="1">
      <x:c r="A33" s="21" t="str">
        <x:v>mainParkingInSchedule</x:v>
      </x:c>
      <x:c r="B33" s="21" t="str">
        <x:v>07:45</x:v>
      </x:c>
      <x:c r="C33" s="21" t="str">
        <x:v>08:00</x:v>
      </x:c>
      <x:c r="D33" s="21" t="n">
        <x:v>15</x:v>
      </x:c>
      <x:c r="E33" s="34" t="n">
        <x:v>0.867</x:v>
      </x:c>
      <x:c r="F33" s="21" t="str">
        <x:v>PER_MINUTE</x:v>
      </x:c>
      <x:c r="G33" s="21" t="str">
        <x:v>IN RUN</x:v>
      </x:c>
      <x:c r="H33" s="21" t="str">
        <x:v>Satit Chula Crossing final proj(1).alp</x:v>
      </x:c>
    </x:row>
    <x:row r="34" ht="23" customHeight="1">
      <x:c r="A34" s="24" t="str">
        <x:v>secondaryParkingOutSchedule</x:v>
      </x:c>
      <x:c r="B34" s="24" t="str">
        <x:v>06:30</x:v>
      </x:c>
      <x:c r="C34" s="24" t="str">
        <x:v>06:45</x:v>
      </x:c>
      <x:c r="D34" s="24" t="n">
        <x:v>15</x:v>
      </x:c>
      <x:c r="E34" s="35" t="n">
        <x:v>0.067</x:v>
      </x:c>
      <x:c r="F34" s="24" t="str">
        <x:v>PER_MINUTE</x:v>
      </x:c>
      <x:c r="G34" s="24" t="str">
        <x:v>IN RUN</x:v>
      </x:c>
      <x:c r="H34" s="24" t="str">
        <x:v>Satit Chula Crossing final proj(1).alp</x:v>
      </x:c>
    </x:row>
    <x:row r="35" ht="23" customHeight="1">
      <x:c r="A35" s="21" t="str">
        <x:v>secondaryParkingOutSchedule</x:v>
      </x:c>
      <x:c r="B35" s="21" t="str">
        <x:v>06:45</x:v>
      </x:c>
      <x:c r="C35" s="21" t="str">
        <x:v>07:00</x:v>
      </x:c>
      <x:c r="D35" s="21" t="n">
        <x:v>15</x:v>
      </x:c>
      <x:c r="E35" s="34" t="n">
        <x:v>0</x:v>
      </x:c>
      <x:c r="F35" s="21" t="str">
        <x:v>PER_MINUTE</x:v>
      </x:c>
      <x:c r="G35" s="21" t="str">
        <x:v>IN RUN</x:v>
      </x:c>
      <x:c r="H35" s="21" t="str">
        <x:v>Satit Chula Crossing final proj(1).alp</x:v>
      </x:c>
    </x:row>
    <x:row r="36" ht="23" customHeight="1">
      <x:c r="A36" s="24" t="str">
        <x:v>secondaryParkingOutSchedule</x:v>
      </x:c>
      <x:c r="B36" s="24" t="str">
        <x:v>07:00</x:v>
      </x:c>
      <x:c r="C36" s="24" t="str">
        <x:v>07:15</x:v>
      </x:c>
      <x:c r="D36" s="24" t="n">
        <x:v>15</x:v>
      </x:c>
      <x:c r="E36" s="35" t="n">
        <x:v>0</x:v>
      </x:c>
      <x:c r="F36" s="24" t="str">
        <x:v>PER_MINUTE</x:v>
      </x:c>
      <x:c r="G36" s="24" t="str">
        <x:v>IN RUN</x:v>
      </x:c>
      <x:c r="H36" s="24" t="str">
        <x:v>Satit Chula Crossing final proj(1).alp</x:v>
      </x:c>
    </x:row>
    <x:row r="37" ht="23" customHeight="1">
      <x:c r="A37" s="21" t="str">
        <x:v>secondaryParkingOutSchedule</x:v>
      </x:c>
      <x:c r="B37" s="21" t="str">
        <x:v>07:15</x:v>
      </x:c>
      <x:c r="C37" s="21" t="str">
        <x:v>07:30</x:v>
      </x:c>
      <x:c r="D37" s="21" t="n">
        <x:v>15</x:v>
      </x:c>
      <x:c r="E37" s="34" t="n">
        <x:v>0.533</x:v>
      </x:c>
      <x:c r="F37" s="21" t="str">
        <x:v>PER_MINUTE</x:v>
      </x:c>
      <x:c r="G37" s="21" t="str">
        <x:v>IN RUN</x:v>
      </x:c>
      <x:c r="H37" s="21" t="str">
        <x:v>Satit Chula Crossing final proj(1).alp</x:v>
      </x:c>
    </x:row>
    <x:row r="38" ht="23" customHeight="1">
      <x:c r="A38" s="24" t="str">
        <x:v>secondaryParkingOutSchedule</x:v>
      </x:c>
      <x:c r="B38" s="24" t="str">
        <x:v>07:30</x:v>
      </x:c>
      <x:c r="C38" s="24" t="str">
        <x:v>07:45</x:v>
      </x:c>
      <x:c r="D38" s="24" t="n">
        <x:v>15</x:v>
      </x:c>
      <x:c r="E38" s="35" t="n">
        <x:v>0.533</x:v>
      </x:c>
      <x:c r="F38" s="24" t="str">
        <x:v>PER_MINUTE</x:v>
      </x:c>
      <x:c r="G38" s="24" t="str">
        <x:v>IN RUN</x:v>
      </x:c>
      <x:c r="H38" s="24" t="str">
        <x:v>Satit Chula Crossing final proj(1).alp</x:v>
      </x:c>
    </x:row>
    <x:row r="39" ht="23" customHeight="1">
      <x:c r="A39" s="21" t="str">
        <x:v>secondaryParkingOutSchedule</x:v>
      </x:c>
      <x:c r="B39" s="21" t="str">
        <x:v>07:45</x:v>
      </x:c>
      <x:c r="C39" s="21" t="str">
        <x:v>08:00</x:v>
      </x:c>
      <x:c r="D39" s="21" t="n">
        <x:v>15</x:v>
      </x:c>
      <x:c r="E39" s="34" t="n">
        <x:v>0.4</x:v>
      </x:c>
      <x:c r="F39" s="21" t="str">
        <x:v>PER_MINUTE</x:v>
      </x:c>
      <x:c r="G39" s="21" t="str">
        <x:v>IN RUN</x:v>
      </x:c>
      <x:c r="H39" s="21" t="str">
        <x:v>Satit Chula Crossing final proj(1).alp</x:v>
      </x:c>
    </x:row>
    <x:row r="40" ht="23" customHeight="1">
      <x:c r="A40" s="24" t="str">
        <x:v>secondaryParkingOutSchedule</x:v>
      </x:c>
      <x:c r="B40" s="24" t="str">
        <x:v>08:00</x:v>
      </x:c>
      <x:c r="C40" s="24" t="str">
        <x:v>08:10</x:v>
      </x:c>
      <x:c r="D40" s="24" t="n">
        <x:v>10</x:v>
      </x:c>
      <x:c r="E40" s="35" t="n">
        <x:v>0.4</x:v>
      </x:c>
      <x:c r="F40" s="24" t="str">
        <x:v>PER_MINUTE</x:v>
      </x:c>
      <x:c r="G40" s="24" t="str">
        <x:v>IN RUN</x:v>
      </x:c>
      <x:c r="H40" s="24" t="str">
        <x:v>Satit Chula Crossing final proj(1).alp</x:v>
      </x:c>
    </x:row>
    <x:row r="41" ht="23" customHeight="1">
      <x:c r="A41" s="21" t="str">
        <x:v>mainParkingOutSchedule</x:v>
      </x:c>
      <x:c r="B41" s="21" t="str">
        <x:v>06:30</x:v>
      </x:c>
      <x:c r="C41" s="21" t="str">
        <x:v>06:45</x:v>
      </x:c>
      <x:c r="D41" s="21" t="n">
        <x:v>15</x:v>
      </x:c>
      <x:c r="E41" s="34" t="n">
        <x:v>0</x:v>
      </x:c>
      <x:c r="F41" s="21" t="str">
        <x:v>PER_MINUTE</x:v>
      </x:c>
      <x:c r="G41" s="21" t="str">
        <x:v>IN RUN</x:v>
      </x:c>
      <x:c r="H41" s="21" t="str">
        <x:v>Satit Chula Crossing final proj(1).alp</x:v>
      </x:c>
    </x:row>
    <x:row r="42" ht="23" customHeight="1">
      <x:c r="A42" s="24" t="str">
        <x:v>mainParkingOutSchedule</x:v>
      </x:c>
      <x:c r="B42" s="24" t="str">
        <x:v>06:45</x:v>
      </x:c>
      <x:c r="C42" s="24" t="str">
        <x:v>07:00</x:v>
      </x:c>
      <x:c r="D42" s="24" t="n">
        <x:v>15</x:v>
      </x:c>
      <x:c r="E42" s="35" t="n">
        <x:v>0.467</x:v>
      </x:c>
      <x:c r="F42" s="24" t="str">
        <x:v>PER_MINUTE</x:v>
      </x:c>
      <x:c r="G42" s="24" t="str">
        <x:v>IN RUN</x:v>
      </x:c>
      <x:c r="H42" s="24" t="str">
        <x:v>Satit Chula Crossing final proj(1).alp</x:v>
      </x:c>
    </x:row>
    <x:row r="43" ht="23" customHeight="1">
      <x:c r="A43" s="21" t="str">
        <x:v>mainParkingOutSchedule</x:v>
      </x:c>
      <x:c r="B43" s="21" t="str">
        <x:v>07:00</x:v>
      </x:c>
      <x:c r="C43" s="21" t="str">
        <x:v>07:15</x:v>
      </x:c>
      <x:c r="D43" s="21" t="n">
        <x:v>15</x:v>
      </x:c>
      <x:c r="E43" s="34" t="n">
        <x:v>0.933</x:v>
      </x:c>
      <x:c r="F43" s="21" t="str">
        <x:v>PER_MINUTE</x:v>
      </x:c>
      <x:c r="G43" s="21" t="str">
        <x:v>IN RUN</x:v>
      </x:c>
      <x:c r="H43" s="21" t="str">
        <x:v>Satit Chula Crossing final proj(1).alp</x:v>
      </x:c>
    </x:row>
    <x:row r="44" ht="23" customHeight="1">
      <x:c r="A44" s="24" t="str">
        <x:v>mainParkingOutSchedule</x:v>
      </x:c>
      <x:c r="B44" s="24" t="str">
        <x:v>07:15</x:v>
      </x:c>
      <x:c r="C44" s="24" t="str">
        <x:v>07:30</x:v>
      </x:c>
      <x:c r="D44" s="24" t="n">
        <x:v>15</x:v>
      </x:c>
      <x:c r="E44" s="35" t="n">
        <x:v>0.667</x:v>
      </x:c>
      <x:c r="F44" s="24" t="str">
        <x:v>PER_MINUTE</x:v>
      </x:c>
      <x:c r="G44" s="24" t="str">
        <x:v>IN RUN</x:v>
      </x:c>
      <x:c r="H44" s="24" t="str">
        <x:v>Satit Chula Crossing final proj(1).alp</x:v>
      </x:c>
    </x:row>
    <x:row r="45" ht="23" customHeight="1">
      <x:c r="A45" s="21" t="str">
        <x:v>mainParkingOutSchedule</x:v>
      </x:c>
      <x:c r="B45" s="21" t="str">
        <x:v>07:30</x:v>
      </x:c>
      <x:c r="C45" s="21" t="str">
        <x:v>07:45</x:v>
      </x:c>
      <x:c r="D45" s="21" t="n">
        <x:v>15</x:v>
      </x:c>
      <x:c r="E45" s="34" t="n">
        <x:v>0.933</x:v>
      </x:c>
      <x:c r="F45" s="21" t="str">
        <x:v>PER_MINUTE</x:v>
      </x:c>
      <x:c r="G45" s="21" t="str">
        <x:v>IN RUN</x:v>
      </x:c>
      <x:c r="H45" s="21" t="str">
        <x:v>Satit Chula Crossing final proj(1).alp</x:v>
      </x:c>
    </x:row>
    <x:row r="46" ht="23" customHeight="1">
      <x:c r="A46" s="24" t="str">
        <x:v>mainParkingOutSchedule</x:v>
      </x:c>
      <x:c r="B46" s="24" t="str">
        <x:v>07:45</x:v>
      </x:c>
      <x:c r="C46" s="24" t="str">
        <x:v>08:00</x:v>
      </x:c>
      <x:c r="D46" s="24" t="n">
        <x:v>15</x:v>
      </x:c>
      <x:c r="E46" s="35" t="n">
        <x:v>2.4</x:v>
      </x:c>
      <x:c r="F46" s="24" t="str">
        <x:v>PER_MINUTE</x:v>
      </x:c>
      <x:c r="G46" s="24" t="str">
        <x:v>IN RUN</x:v>
      </x:c>
      <x:c r="H46" s="24" t="str">
        <x:v>Satit Chula Crossing final proj(1).alp</x:v>
      </x:c>
    </x:row>
    <x:row r="47" ht="23" customHeight="1">
      <x:c r="A47" s="21" t="str">
        <x:v>mainParkingOutSchedule</x:v>
      </x:c>
      <x:c r="B47" s="21" t="str">
        <x:v>08:00</x:v>
      </x:c>
      <x:c r="C47" s="21" t="str">
        <x:v>08:10</x:v>
      </x:c>
      <x:c r="D47" s="21" t="n">
        <x:v>10</x:v>
      </x:c>
      <x:c r="E47" s="34" t="n">
        <x:v>0.7</x:v>
      </x:c>
      <x:c r="F47" s="21" t="str">
        <x:v>PER_MINUTE</x:v>
      </x:c>
      <x:c r="G47" s="21" t="str">
        <x:v>IN RUN</x:v>
      </x:c>
      <x:c r="H47" s="21" t="str">
        <x:v>Satit Chula Crossing final proj(1).alp</x:v>
      </x:c>
    </x:row>
    <x:row r="48" ht="23" customHeight="1">
      <x:c r="A48" s="24" t="str">
        <x:v>secondaryParkingInSchedule</x:v>
      </x:c>
      <x:c r="B48" s="24" t="str">
        <x:v>06:30</x:v>
      </x:c>
      <x:c r="C48" s="24" t="str">
        <x:v>06:45</x:v>
      </x:c>
      <x:c r="D48" s="24" t="n">
        <x:v>15</x:v>
      </x:c>
      <x:c r="E48" s="35" t="n">
        <x:v>1.4</x:v>
      </x:c>
      <x:c r="F48" s="24" t="str">
        <x:v>PER_MINUTE</x:v>
      </x:c>
      <x:c r="G48" s="24" t="str">
        <x:v>IN RUN</x:v>
      </x:c>
      <x:c r="H48" s="24" t="str">
        <x:v>Satit Chula Crossing final proj(1).alp</x:v>
      </x:c>
    </x:row>
    <x:row r="49" ht="23" customHeight="1">
      <x:c r="A49" s="21" t="str">
        <x:v>secondaryParkingInSchedule</x:v>
      </x:c>
      <x:c r="B49" s="21" t="str">
        <x:v>06:45</x:v>
      </x:c>
      <x:c r="C49" s="21" t="str">
        <x:v>07:00</x:v>
      </x:c>
      <x:c r="D49" s="21" t="n">
        <x:v>15</x:v>
      </x:c>
      <x:c r="E49" s="34" t="n">
        <x:v>1.667</x:v>
      </x:c>
      <x:c r="F49" s="21" t="str">
        <x:v>PER_MINUTE</x:v>
      </x:c>
      <x:c r="G49" s="21" t="str">
        <x:v>IN RUN</x:v>
      </x:c>
      <x:c r="H49" s="21" t="str">
        <x:v>Satit Chula Crossing final proj(1).alp</x:v>
      </x:c>
    </x:row>
    <x:row r="50" ht="23" customHeight="1">
      <x:c r="A50" s="24" t="str">
        <x:v>secondaryParkingInSchedule</x:v>
      </x:c>
      <x:c r="B50" s="24" t="str">
        <x:v>07:00</x:v>
      </x:c>
      <x:c r="C50" s="24" t="str">
        <x:v>07:15</x:v>
      </x:c>
      <x:c r="D50" s="24" t="n">
        <x:v>15</x:v>
      </x:c>
      <x:c r="E50" s="35" t="n">
        <x:v>3</x:v>
      </x:c>
      <x:c r="F50" s="24" t="str">
        <x:v>PER_MINUTE</x:v>
      </x:c>
      <x:c r="G50" s="24" t="str">
        <x:v>IN RUN</x:v>
      </x:c>
      <x:c r="H50" s="24" t="str">
        <x:v>Satit Chula Crossing final proj(1).alp</x:v>
      </x:c>
    </x:row>
    <x:row r="51" ht="23" customHeight="1">
      <x:c r="A51" s="21" t="str">
        <x:v>secondaryParkingInSchedule</x:v>
      </x:c>
      <x:c r="B51" s="21" t="str">
        <x:v>07:15</x:v>
      </x:c>
      <x:c r="C51" s="21" t="str">
        <x:v>07:30</x:v>
      </x:c>
      <x:c r="D51" s="21" t="n">
        <x:v>15</x:v>
      </x:c>
      <x:c r="E51" s="34" t="n">
        <x:v>1.267</x:v>
      </x:c>
      <x:c r="F51" s="21" t="str">
        <x:v>PER_MINUTE</x:v>
      </x:c>
      <x:c r="G51" s="21" t="str">
        <x:v>IN RUN</x:v>
      </x:c>
      <x:c r="H51" s="21" t="str">
        <x:v>Satit Chula Crossing final proj(1).alp</x:v>
      </x:c>
    </x:row>
    <x:row r="52" ht="23" customHeight="1">
      <x:c r="A52" s="24" t="str">
        <x:v>secondaryParkingInSchedule</x:v>
      </x:c>
      <x:c r="B52" s="24" t="str">
        <x:v>07:30</x:v>
      </x:c>
      <x:c r="C52" s="24" t="str">
        <x:v>07:45</x:v>
      </x:c>
      <x:c r="D52" s="24" t="n">
        <x:v>15</x:v>
      </x:c>
      <x:c r="E52" s="35" t="n">
        <x:v>1.667</x:v>
      </x:c>
      <x:c r="F52" s="24" t="str">
        <x:v>PER_MINUTE</x:v>
      </x:c>
      <x:c r="G52" s="24" t="str">
        <x:v>IN RUN</x:v>
      </x:c>
      <x:c r="H52" s="24" t="str">
        <x:v>Satit Chula Crossing final proj(1).alp</x:v>
      </x:c>
    </x:row>
    <x:row r="53" ht="23" customHeight="1">
      <x:c r="A53" s="21" t="str">
        <x:v>secondaryParkingInSchedule</x:v>
      </x:c>
      <x:c r="B53" s="21" t="str">
        <x:v>07:45</x:v>
      </x:c>
      <x:c r="C53" s="21" t="str">
        <x:v>08:00</x:v>
      </x:c>
      <x:c r="D53" s="21" t="n">
        <x:v>15</x:v>
      </x:c>
      <x:c r="E53" s="34" t="n">
        <x:v>0.867</x:v>
      </x:c>
      <x:c r="F53" s="21" t="str">
        <x:v>PER_MINUTE</x:v>
      </x:c>
      <x:c r="G53" s="21" t="str">
        <x:v>IN RUN</x:v>
      </x:c>
      <x:c r="H53" s="21" t="str">
        <x:v>Satit Chula Crossing final proj(1).alp</x:v>
      </x:c>
    </x:row>
    <x:row r="54" ht="23" customHeight="1">
      <x:c r="A54" s="24" t="str">
        <x:v>SecondRoadSchedule_Left</x:v>
      </x:c>
      <x:c r="B54" s="24" t="str">
        <x:v>06:30</x:v>
      </x:c>
      <x:c r="C54" s="24" t="str">
        <x:v>06:45</x:v>
      </x:c>
      <x:c r="D54" s="24" t="n">
        <x:v>15</x:v>
      </x:c>
      <x:c r="E54" s="35" t="n">
        <x:v>0.2</x:v>
      </x:c>
      <x:c r="F54" s="24" t="str">
        <x:v>PER_MINUTE</x:v>
      </x:c>
      <x:c r="G54" s="24" t="str">
        <x:v>IN RUN</x:v>
      </x:c>
      <x:c r="H54" s="24" t="str">
        <x:v>Satit Chula Crossing final proj(1).alp</x:v>
      </x:c>
    </x:row>
    <x:row r="55" ht="23" customHeight="1">
      <x:c r="A55" s="21" t="str">
        <x:v>SecondRoadSchedule_Left</x:v>
      </x:c>
      <x:c r="B55" s="21" t="str">
        <x:v>06:45</x:v>
      </x:c>
      <x:c r="C55" s="21" t="str">
        <x:v>07:00</x:v>
      </x:c>
      <x:c r="D55" s="21" t="n">
        <x:v>15</x:v>
      </x:c>
      <x:c r="E55" s="34" t="n">
        <x:v>0.067</x:v>
      </x:c>
      <x:c r="F55" s="21" t="str">
        <x:v>PER_MINUTE</x:v>
      </x:c>
      <x:c r="G55" s="21" t="str">
        <x:v>IN RUN</x:v>
      </x:c>
      <x:c r="H55" s="21" t="str">
        <x:v>Satit Chula Crossing final proj(1).alp</x:v>
      </x:c>
    </x:row>
    <x:row r="56" ht="23" customHeight="1">
      <x:c r="A56" s="24" t="str">
        <x:v>SecondRoadSchedule_Left</x:v>
      </x:c>
      <x:c r="B56" s="24" t="str">
        <x:v>07:00</x:v>
      </x:c>
      <x:c r="C56" s="24" t="str">
        <x:v>07:15</x:v>
      </x:c>
      <x:c r="D56" s="24" t="n">
        <x:v>15</x:v>
      </x:c>
      <x:c r="E56" s="35" t="n">
        <x:v>2.133</x:v>
      </x:c>
      <x:c r="F56" s="24" t="str">
        <x:v>PER_MINUTE</x:v>
      </x:c>
      <x:c r="G56" s="24" t="str">
        <x:v>IN RUN</x:v>
      </x:c>
      <x:c r="H56" s="24" t="str">
        <x:v>Satit Chula Crossing final proj(1).alp</x:v>
      </x:c>
    </x:row>
    <x:row r="57" ht="23" customHeight="1">
      <x:c r="A57" s="21" t="str">
        <x:v>SecondRoadSchedule_Left</x:v>
      </x:c>
      <x:c r="B57" s="21" t="str">
        <x:v>07:15</x:v>
      </x:c>
      <x:c r="C57" s="21" t="str">
        <x:v>07:30</x:v>
      </x:c>
      <x:c r="D57" s="21" t="n">
        <x:v>15</x:v>
      </x:c>
      <x:c r="E57" s="34" t="n">
        <x:v>2.933</x:v>
      </x:c>
      <x:c r="F57" s="21" t="str">
        <x:v>PER_MINUTE</x:v>
      </x:c>
      <x:c r="G57" s="21" t="str">
        <x:v>IN RUN</x:v>
      </x:c>
      <x:c r="H57" s="21" t="str">
        <x:v>Satit Chula Crossing final proj(1).alp</x:v>
      </x:c>
    </x:row>
    <x:row r="58" ht="23" customHeight="1">
      <x:c r="A58" s="24" t="str">
        <x:v>SecondRoadSchedule_Left</x:v>
      </x:c>
      <x:c r="B58" s="24" t="str">
        <x:v>07:30</x:v>
      </x:c>
      <x:c r="C58" s="24" t="str">
        <x:v>07:45</x:v>
      </x:c>
      <x:c r="D58" s="24" t="n">
        <x:v>15</x:v>
      </x:c>
      <x:c r="E58" s="35" t="n">
        <x:v>2.8</x:v>
      </x:c>
      <x:c r="F58" s="24" t="str">
        <x:v>PER_MINUTE</x:v>
      </x:c>
      <x:c r="G58" s="24" t="str">
        <x:v>IN RUN</x:v>
      </x:c>
      <x:c r="H58" s="24" t="str">
        <x:v>Satit Chula Crossing final proj(1).alp</x:v>
      </x:c>
    </x:row>
    <x:row r="59" ht="23" customHeight="1">
      <x:c r="A59" s="21" t="str">
        <x:v>SecondRoadSchedule_Left</x:v>
      </x:c>
      <x:c r="B59" s="21" t="str">
        <x:v>07:45</x:v>
      </x:c>
      <x:c r="C59" s="21" t="str">
        <x:v>08:00</x:v>
      </x:c>
      <x:c r="D59" s="21" t="n">
        <x:v>15</x:v>
      </x:c>
      <x:c r="E59" s="34" t="n">
        <x:v>3.2</x:v>
      </x:c>
      <x:c r="F59" s="21" t="str">
        <x:v>PER_MINUTE</x:v>
      </x:c>
      <x:c r="G59" s="21" t="str">
        <x:v>IN RUN</x:v>
      </x:c>
      <x:c r="H59" s="21" t="str">
        <x:v>Satit Chula Crossing final proj(1).alp</x:v>
      </x:c>
    </x:row>
    <x:row r="60" ht="23" customHeight="1">
      <x:c r="A60" s="24" t="str">
        <x:v>SecondRoadSchedule_Left</x:v>
      </x:c>
      <x:c r="B60" s="24" t="str">
        <x:v>08:00</x:v>
      </x:c>
      <x:c r="C60" s="24" t="str">
        <x:v>08:10</x:v>
      </x:c>
      <x:c r="D60" s="24" t="n">
        <x:v>10</x:v>
      </x:c>
      <x:c r="E60" s="35" t="n">
        <x:v>0.2</x:v>
      </x:c>
      <x:c r="F60" s="24" t="str">
        <x:v>PER_MINUTE</x:v>
      </x:c>
      <x:c r="G60" s="24" t="str">
        <x:v>IN RUN</x:v>
      </x:c>
      <x:c r="H60" s="24" t="str">
        <x:v>Satit Chula Crossing final proj(1).alp</x:v>
      </x:c>
    </x:row>
    <x:row r="61" ht="23" customHeight="1">
      <x:c r="A61" s="21" t="str">
        <x:v>SecondRoadSchedule_Right</x:v>
      </x:c>
      <x:c r="B61" s="21" t="str">
        <x:v>06:30</x:v>
      </x:c>
      <x:c r="C61" s="21" t="str">
        <x:v>06:45</x:v>
      </x:c>
      <x:c r="D61" s="21" t="n">
        <x:v>15</x:v>
      </x:c>
      <x:c r="E61" s="34" t="n">
        <x:v>0.8</x:v>
      </x:c>
      <x:c r="F61" s="21" t="str">
        <x:v>PER_SECOND</x:v>
      </x:c>
      <x:c r="G61" s="21" t="str">
        <x:v>IN RUN</x:v>
      </x:c>
      <x:c r="H61" s="21" t="str">
        <x:v>Satit Chula Crossing final proj(1).alp</x:v>
      </x:c>
    </x:row>
    <x:row r="62" ht="23" customHeight="1">
      <x:c r="A62" s="24" t="str">
        <x:v>SecondRoadSchedule_Right</x:v>
      </x:c>
      <x:c r="B62" s="24" t="str">
        <x:v>06:45</x:v>
      </x:c>
      <x:c r="C62" s="24" t="str">
        <x:v>07:00</x:v>
      </x:c>
      <x:c r="D62" s="24" t="n">
        <x:v>15</x:v>
      </x:c>
      <x:c r="E62" s="35" t="n">
        <x:v>1.867</x:v>
      </x:c>
      <x:c r="F62" s="24" t="str">
        <x:v>PER_SECOND</x:v>
      </x:c>
      <x:c r="G62" s="24" t="str">
        <x:v>IN RUN</x:v>
      </x:c>
      <x:c r="H62" s="24" t="str">
        <x:v>Satit Chula Crossing final proj(1).alp</x:v>
      </x:c>
    </x:row>
    <x:row r="63" ht="23" customHeight="1">
      <x:c r="A63" s="21" t="str">
        <x:v>SecondRoadSchedule_Right</x:v>
      </x:c>
      <x:c r="B63" s="21" t="str">
        <x:v>07:00</x:v>
      </x:c>
      <x:c r="C63" s="21" t="str">
        <x:v>07:15</x:v>
      </x:c>
      <x:c r="D63" s="21" t="n">
        <x:v>15</x:v>
      </x:c>
      <x:c r="E63" s="34" t="n">
        <x:v>3.2</x:v>
      </x:c>
      <x:c r="F63" s="21" t="str">
        <x:v>PER_SECOND</x:v>
      </x:c>
      <x:c r="G63" s="21" t="str">
        <x:v>IN RUN</x:v>
      </x:c>
      <x:c r="H63" s="21" t="str">
        <x:v>Satit Chula Crossing final proj(1).alp</x:v>
      </x:c>
    </x:row>
    <x:row r="64" ht="23" customHeight="1">
      <x:c r="A64" s="24" t="str">
        <x:v>SecondRoadSchedule_Right</x:v>
      </x:c>
      <x:c r="B64" s="24" t="str">
        <x:v>07:15</x:v>
      </x:c>
      <x:c r="C64" s="24" t="str">
        <x:v>07:30</x:v>
      </x:c>
      <x:c r="D64" s="24" t="n">
        <x:v>15</x:v>
      </x:c>
      <x:c r="E64" s="35" t="n">
        <x:v>5.467</x:v>
      </x:c>
      <x:c r="F64" s="24" t="str">
        <x:v>PER_SECOND</x:v>
      </x:c>
      <x:c r="G64" s="24" t="str">
        <x:v>IN RUN</x:v>
      </x:c>
      <x:c r="H64" s="24" t="str">
        <x:v>Satit Chula Crossing final proj(1).alp</x:v>
      </x:c>
    </x:row>
    <x:row r="65" ht="23" customHeight="1">
      <x:c r="A65" s="21" t="str">
        <x:v>SecondRoadSchedule_Right</x:v>
      </x:c>
      <x:c r="B65" s="21" t="str">
        <x:v>07:30</x:v>
      </x:c>
      <x:c r="C65" s="21" t="str">
        <x:v>07:45</x:v>
      </x:c>
      <x:c r="D65" s="21" t="n">
        <x:v>15</x:v>
      </x:c>
      <x:c r="E65" s="34" t="n">
        <x:v>4.333</x:v>
      </x:c>
      <x:c r="F65" s="21" t="str">
        <x:v>PER_SECOND</x:v>
      </x:c>
      <x:c r="G65" s="21" t="str">
        <x:v>IN RUN</x:v>
      </x:c>
      <x:c r="H65" s="21" t="str">
        <x:v>Satit Chula Crossing final proj(1).alp</x:v>
      </x:c>
    </x:row>
    <x:row r="66" ht="23" customHeight="1">
      <x:c r="A66" s="24" t="str">
        <x:v>SecondRoadSchedule_Right</x:v>
      </x:c>
      <x:c r="B66" s="24" t="str">
        <x:v>07:45</x:v>
      </x:c>
      <x:c r="C66" s="24" t="str">
        <x:v>08:00</x:v>
      </x:c>
      <x:c r="D66" s="24" t="n">
        <x:v>15</x:v>
      </x:c>
      <x:c r="E66" s="35" t="n">
        <x:v>5.533</x:v>
      </x:c>
      <x:c r="F66" s="24" t="str">
        <x:v>PER_SECOND</x:v>
      </x:c>
      <x:c r="G66" s="24" t="str">
        <x:v>IN RUN</x:v>
      </x:c>
      <x:c r="H66" s="24" t="str">
        <x:v>Satit Chula Crossing final proj(1).alp</x:v>
      </x:c>
    </x:row>
    <x:row r="67" ht="23" customHeight="1">
      <x:c r="A67" s="21" t="str">
        <x:v>SecondRoadSchedule_Right</x:v>
      </x:c>
      <x:c r="B67" s="21" t="str">
        <x:v>08:00</x:v>
      </x:c>
      <x:c r="C67" s="21" t="str">
        <x:v>08:10</x:v>
      </x:c>
      <x:c r="D67" s="21" t="n">
        <x:v>10</x:v>
      </x:c>
      <x:c r="E67" s="34" t="n">
        <x:v>3.3</x:v>
      </x:c>
      <x:c r="F67" s="21" t="str">
        <x:v>PER_SECOND</x:v>
      </x:c>
      <x:c r="G67" s="21" t="str">
        <x:v>IN RUN</x:v>
      </x:c>
      <x:c r="H67" s="21" t="str">
        <x:v>Satit Chula Crossing final proj(1).alp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19" hidden="0" customWidth="1"/>
    <x:col min="4" max="4" width="11" hidden="0" customWidth="1"/>
    <x:col min="5" max="5" width="18" hidden="0" customWidth="1"/>
    <x:col min="6" max="6" width="19" hidden="0" customWidth="1"/>
    <x:col min="7" max="7" width="18" hidden="0" customWidth="1"/>
    <x:col min="8" max="8" width="19" hidden="0" customWidth="1"/>
    <x:col min="9" max="9" width="19" hidden="0" customWidth="1"/>
    <x:col min="10" max="10" width="22" hidden="0" customWidth="1"/>
    <x:col min="11" max="11" width="19" hidden="0" customWidth="1"/>
    <x:col min="12" max="12" width="49" hidden="0" customWidth="1"/>
    <x:col min="13" max="13" width="67" hidden="0" customWidth="1"/>
  </x:cols>
  <x:sheetData>
    <x:row r="1" ht="22" customHeight="1">
      <x:c r="A1" s="4" t="str">
        <x:v>03  •  NORMALIZED SCHEDULES — SCENARIO EDITOR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4" customHeight="1">
      <x:c r="A3" s="9" t="str">
        <x:v>GREEN rate/min = scenario input. Rates for observed/mock flows initially link to FIELD_MOCK counts; changing Count updates this sheet. To apply, set schedule unit to PER_MINUTE and copy Rate/min. Main-road rate uses inferred /60 correction.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34" customHeight="1">
      <x:c r="A4" s="15" t="str">
        <x:v>Flow</x:v>
      </x:c>
      <x:c r="B4" s="15" t="str">
        <x:v>AnyLogic schedule</x:v>
      </x:c>
      <x:c r="C4" s="15" t="str">
        <x:v>Clock window</x:v>
      </x:c>
      <x:c r="D4" s="15" t="str">
        <x:v>Minutes</x:v>
      </x:c>
      <x:c r="E4" s="15" t="str">
        <x:v>Snapshot value</x:v>
      </x:c>
      <x:c r="F4" s="15" t="str">
        <x:v>Snapshot unit</x:v>
      </x:c>
      <x:c r="G4" s="15" t="str">
        <x:v>Rate/min (EDIT)</x:v>
      </x:c>
      <x:c r="H4" s="15" t="str">
        <x:v>Expected count</x:v>
      </x:c>
      <x:c r="I4" s="15" t="str">
        <x:v>Field/Mock count</x:v>
      </x:c>
      <x:c r="J4" s="15" t="str">
        <x:v>Gap expected−field</x:v>
      </x:c>
      <x:c r="K4" s="15" t="str">
        <x:v>Status</x:v>
      </x:c>
      <x:c r="L4" s="15" t="str">
        <x:v>Where to edit / action</x:v>
      </x:c>
      <x:c r="M4" s="15" t="str">
        <x:v>Model notes</x:v>
      </x:c>
    </x:row>
    <x:row r="5" ht="28" customHeight="1">
      <x:c r="A5" s="21" t="str">
        <x:v>MainRoadLeft</x:v>
      </x:c>
      <x:c r="B5" s="21" t="str">
        <x:v>carRateSchedule_Left</x:v>
      </x:c>
      <x:c r="C5" s="21" t="str">
        <x:v>06:30–06:45</x:v>
      </x:c>
      <x:c r="D5" s="21" t="n">
        <x:v>15</x:v>
      </x:c>
      <x:c r="E5" s="38" t="n">
        <x:v>152</x:v>
      </x:c>
      <x:c r="F5" s="38" t="str">
        <x:v>PER_MINUTE</x:v>
      </x:c>
      <x:c r="G5" s="30" t="n">
        <x:v>2.533333333333333</x:v>
      </x:c>
      <x:c r="H5" s="31" t="n">
        <x:f>G5*D5</x:f>
        <x:v>38</x:v>
      </x:c>
      <x:c r="I5" s="31"/>
      <x:c r="J5" s="31"/>
      <x:c r="K5" s="21" t="str">
        <x:v>MODEL HR ASSUMPTION</x:v>
      </x:c>
      <x:c r="L5" s="21" t="str">
        <x:v>Change rate values and retain PER_MINUTE in AnyLogic, OR keep hourly numbers and change unit to PER_HOUR</x:v>
      </x:c>
      <x:c r="M5" s="21" t="str">
        <x:v>Main road lane left: raw numbers 152..344 treated here as veh/hour, NOT validated field count</x:v>
      </x:c>
    </x:row>
    <x:row r="6" ht="28" customHeight="1">
      <x:c r="A6" s="24" t="str">
        <x:v>MainRoadLeft</x:v>
      </x:c>
      <x:c r="B6" s="24" t="str">
        <x:v>carRateSchedule_Left</x:v>
      </x:c>
      <x:c r="C6" s="24" t="str">
        <x:v>06:45–07:00</x:v>
      </x:c>
      <x:c r="D6" s="24" t="n">
        <x:v>15</x:v>
      </x:c>
      <x:c r="E6" s="39" t="n">
        <x:v>220</x:v>
      </x:c>
      <x:c r="F6" s="39" t="str">
        <x:v>PER_MINUTE</x:v>
      </x:c>
      <x:c r="G6" s="30" t="n">
        <x:v>3.6666666666666665</x:v>
      </x:c>
      <x:c r="H6" s="31" t="n">
        <x:f>G6*D6</x:f>
        <x:v>55</x:v>
      </x:c>
      <x:c r="I6" s="31"/>
      <x:c r="J6" s="31"/>
      <x:c r="K6" s="24" t="str">
        <x:v>MODEL HR ASSUMPTION</x:v>
      </x:c>
      <x:c r="L6" s="24" t="str">
        <x:v>Change rate values and retain PER_MINUTE in AnyLogic, OR keep hourly numbers and change unit to PER_HOUR</x:v>
      </x:c>
      <x:c r="M6" s="24" t="str">
        <x:v>Main road lane left: raw numbers 152..344 treated here as veh/hour, NOT validated field count</x:v>
      </x:c>
    </x:row>
    <x:row r="7" ht="28" customHeight="1">
      <x:c r="A7" s="21" t="str">
        <x:v>MainRoadLeft</x:v>
      </x:c>
      <x:c r="B7" s="21" t="str">
        <x:v>carRateSchedule_Left</x:v>
      </x:c>
      <x:c r="C7" s="21" t="str">
        <x:v>07:00–07:15</x:v>
      </x:c>
      <x:c r="D7" s="21" t="n">
        <x:v>15</x:v>
      </x:c>
      <x:c r="E7" s="38" t="n">
        <x:v>264</x:v>
      </x:c>
      <x:c r="F7" s="38" t="str">
        <x:v>PER_MINUTE</x:v>
      </x:c>
      <x:c r="G7" s="30" t="n">
        <x:v>4.4</x:v>
      </x:c>
      <x:c r="H7" s="31" t="n">
        <x:f>G7*D7</x:f>
        <x:v>66</x:v>
      </x:c>
      <x:c r="I7" s="31"/>
      <x:c r="J7" s="31"/>
      <x:c r="K7" s="21" t="str">
        <x:v>MODEL HR ASSUMPTION</x:v>
      </x:c>
      <x:c r="L7" s="21" t="str">
        <x:v>Change rate values and retain PER_MINUTE in AnyLogic, OR keep hourly numbers and change unit to PER_HOUR</x:v>
      </x:c>
      <x:c r="M7" s="21" t="str">
        <x:v>Main road lane left: raw numbers 152..344 treated here as veh/hour, NOT validated field count</x:v>
      </x:c>
    </x:row>
    <x:row r="8" ht="28" customHeight="1">
      <x:c r="A8" s="24" t="str">
        <x:v>MainRoadLeft</x:v>
      </x:c>
      <x:c r="B8" s="24" t="str">
        <x:v>carRateSchedule_Left</x:v>
      </x:c>
      <x:c r="C8" s="24" t="str">
        <x:v>07:15–07:30</x:v>
      </x:c>
      <x:c r="D8" s="24" t="n">
        <x:v>15</x:v>
      </x:c>
      <x:c r="E8" s="39" t="n">
        <x:v>280</x:v>
      </x:c>
      <x:c r="F8" s="39" t="str">
        <x:v>PER_MINUTE</x:v>
      </x:c>
      <x:c r="G8" s="30" t="n">
        <x:v>4.666666666666667</x:v>
      </x:c>
      <x:c r="H8" s="31" t="n">
        <x:f>G8*D8</x:f>
        <x:v>70</x:v>
      </x:c>
      <x:c r="I8" s="31"/>
      <x:c r="J8" s="31"/>
      <x:c r="K8" s="24" t="str">
        <x:v>MODEL HR ASSUMPTION</x:v>
      </x:c>
      <x:c r="L8" s="24" t="str">
        <x:v>Change rate values and retain PER_MINUTE in AnyLogic, OR keep hourly numbers and change unit to PER_HOUR</x:v>
      </x:c>
      <x:c r="M8" s="24" t="str">
        <x:v>Main road lane left: raw numbers 152..344 treated here as veh/hour, NOT validated field count</x:v>
      </x:c>
    </x:row>
    <x:row r="9" ht="28" customHeight="1">
      <x:c r="A9" s="21" t="str">
        <x:v>MainRoadLeft</x:v>
      </x:c>
      <x:c r="B9" s="21" t="str">
        <x:v>carRateSchedule_Left</x:v>
      </x:c>
      <x:c r="C9" s="21" t="str">
        <x:v>07:30–07:45</x:v>
      </x:c>
      <x:c r="D9" s="21" t="n">
        <x:v>15</x:v>
      </x:c>
      <x:c r="E9" s="38" t="n">
        <x:v>300</x:v>
      </x:c>
      <x:c r="F9" s="38" t="str">
        <x:v>PER_MINUTE</x:v>
      </x:c>
      <x:c r="G9" s="30" t="n">
        <x:v>5</x:v>
      </x:c>
      <x:c r="H9" s="31" t="n">
        <x:f>G9*D9</x:f>
        <x:v>75</x:v>
      </x:c>
      <x:c r="I9" s="31"/>
      <x:c r="J9" s="31"/>
      <x:c r="K9" s="21" t="str">
        <x:v>MODEL HR ASSUMPTION</x:v>
      </x:c>
      <x:c r="L9" s="21" t="str">
        <x:v>Change rate values and retain PER_MINUTE in AnyLogic, OR keep hourly numbers and change unit to PER_HOUR</x:v>
      </x:c>
      <x:c r="M9" s="21" t="str">
        <x:v>Main road lane left: raw numbers 152..344 treated here as veh/hour, NOT validated field count</x:v>
      </x:c>
    </x:row>
    <x:row r="10" ht="28" customHeight="1">
      <x:c r="A10" s="24" t="str">
        <x:v>MainRoadLeft</x:v>
      </x:c>
      <x:c r="B10" s="24" t="str">
        <x:v>carRateSchedule_Left</x:v>
      </x:c>
      <x:c r="C10" s="24" t="str">
        <x:v>07:45–08:00</x:v>
      </x:c>
      <x:c r="D10" s="24" t="n">
        <x:v>15</x:v>
      </x:c>
      <x:c r="E10" s="39" t="n">
        <x:v>344</x:v>
      </x:c>
      <x:c r="F10" s="39" t="str">
        <x:v>PER_MINUTE</x:v>
      </x:c>
      <x:c r="G10" s="30" t="n">
        <x:v>5.733333333333333</x:v>
      </x:c>
      <x:c r="H10" s="31" t="n">
        <x:f>G10*D10</x:f>
        <x:v>86</x:v>
      </x:c>
      <x:c r="I10" s="31"/>
      <x:c r="J10" s="31"/>
      <x:c r="K10" s="24" t="str">
        <x:v>MODEL HR ASSUMPTION</x:v>
      </x:c>
      <x:c r="L10" s="24" t="str">
        <x:v>Change rate values and retain PER_MINUTE in AnyLogic, OR keep hourly numbers and change unit to PER_HOUR</x:v>
      </x:c>
      <x:c r="M10" s="24" t="str">
        <x:v>Main road lane left: raw numbers 152..344 treated here as veh/hour, NOT validated field count</x:v>
      </x:c>
    </x:row>
    <x:row r="11" ht="28" customHeight="1">
      <x:c r="A11" s="21" t="str">
        <x:v>MainRoadLeft</x:v>
      </x:c>
      <x:c r="B11" s="21" t="str">
        <x:v>carRateSchedule_Left</x:v>
      </x:c>
      <x:c r="C11" s="21" t="str">
        <x:v>08:00–08:10</x:v>
      </x:c>
      <x:c r="D11" s="21" t="n">
        <x:v>10</x:v>
      </x:c>
      <x:c r="E11" s="38" t="n">
        <x:v>116</x:v>
      </x:c>
      <x:c r="F11" s="38" t="str">
        <x:v>PER_MINUTE</x:v>
      </x:c>
      <x:c r="G11" s="30" t="n">
        <x:v>1.9333333333333333</x:v>
      </x:c>
      <x:c r="H11" s="31" t="n">
        <x:f>G11*D11</x:f>
        <x:v>19.333333333333332</x:v>
      </x:c>
      <x:c r="I11" s="31"/>
      <x:c r="J11" s="31"/>
      <x:c r="K11" s="21" t="str">
        <x:v>MODEL HR ASSUMPTION</x:v>
      </x:c>
      <x:c r="L11" s="21" t="str">
        <x:v>Change rate values and retain PER_MINUTE in AnyLogic, OR keep hourly numbers and change unit to PER_HOUR</x:v>
      </x:c>
      <x:c r="M11" s="21" t="str">
        <x:v>Main road lane left: raw numbers 152..344 treated here as veh/hour, NOT validated field count</x:v>
      </x:c>
    </x:row>
    <x:row r="12" ht="28" customHeight="1">
      <x:c r="A12" s="24" t="str">
        <x:v>MainRoadRight</x:v>
      </x:c>
      <x:c r="B12" s="24" t="str">
        <x:v>carRateSchedule_Right</x:v>
      </x:c>
      <x:c r="C12" s="24" t="str">
        <x:v>06:30–06:45</x:v>
      </x:c>
      <x:c r="D12" s="24" t="n">
        <x:v>15</x:v>
      </x:c>
      <x:c r="E12" s="39" t="n">
        <x:v>48</x:v>
      </x:c>
      <x:c r="F12" s="39" t="str">
        <x:v>PER_MINUTE</x:v>
      </x:c>
      <x:c r="G12" s="30" t="n">
        <x:v>0.8</x:v>
      </x:c>
      <x:c r="H12" s="31" t="n">
        <x:f>G12*D12</x:f>
        <x:v>12</x:v>
      </x:c>
      <x:c r="I12" s="31"/>
      <x:c r="J12" s="31"/>
      <x:c r="K12" s="24" t="str">
        <x:v>MODEL HR ASSUMPTION</x:v>
      </x:c>
      <x:c r="L12" s="24" t="str">
        <x:v>Same as above</x:v>
      </x:c>
      <x:c r="M12" s="24" t="str">
        <x:v>Main road lane right: raw numbers 48..332 treated as veh/hour</x:v>
      </x:c>
    </x:row>
    <x:row r="13" ht="28" customHeight="1">
      <x:c r="A13" s="21" t="str">
        <x:v>MainRoadRight</x:v>
      </x:c>
      <x:c r="B13" s="21" t="str">
        <x:v>carRateSchedule_Right</x:v>
      </x:c>
      <x:c r="C13" s="21" t="str">
        <x:v>06:45–07:00</x:v>
      </x:c>
      <x:c r="D13" s="21" t="n">
        <x:v>15</x:v>
      </x:c>
      <x:c r="E13" s="38" t="n">
        <x:v>110</x:v>
      </x:c>
      <x:c r="F13" s="38" t="str">
        <x:v>PER_MINUTE</x:v>
      </x:c>
      <x:c r="G13" s="30" t="n">
        <x:v>1.8333333333333333</x:v>
      </x:c>
      <x:c r="H13" s="31" t="n">
        <x:f>G13*D13</x:f>
        <x:v>27.5</x:v>
      </x:c>
      <x:c r="I13" s="31"/>
      <x:c r="J13" s="31"/>
      <x:c r="K13" s="21" t="str">
        <x:v>MODEL HR ASSUMPTION</x:v>
      </x:c>
      <x:c r="L13" s="21" t="str">
        <x:v>Same as above</x:v>
      </x:c>
      <x:c r="M13" s="21" t="str">
        <x:v>Main road lane right: raw numbers 48..332 treated as veh/hour</x:v>
      </x:c>
    </x:row>
    <x:row r="14" ht="28" customHeight="1">
      <x:c r="A14" s="24" t="str">
        <x:v>MainRoadRight</x:v>
      </x:c>
      <x:c r="B14" s="24" t="str">
        <x:v>carRateSchedule_Right</x:v>
      </x:c>
      <x:c r="C14" s="24" t="str">
        <x:v>07:00–07:15</x:v>
      </x:c>
      <x:c r="D14" s="24" t="n">
        <x:v>15</x:v>
      </x:c>
      <x:c r="E14" s="39" t="n">
        <x:v>220</x:v>
      </x:c>
      <x:c r="F14" s="39" t="str">
        <x:v>PER_MINUTE</x:v>
      </x:c>
      <x:c r="G14" s="30" t="n">
        <x:v>3.6666666666666665</x:v>
      </x:c>
      <x:c r="H14" s="31" t="n">
        <x:f>G14*D14</x:f>
        <x:v>55</x:v>
      </x:c>
      <x:c r="I14" s="31"/>
      <x:c r="J14" s="31"/>
      <x:c r="K14" s="24" t="str">
        <x:v>MODEL HR ASSUMPTION</x:v>
      </x:c>
      <x:c r="L14" s="24" t="str">
        <x:v>Same as above</x:v>
      </x:c>
      <x:c r="M14" s="24" t="str">
        <x:v>Main road lane right: raw numbers 48..332 treated as veh/hour</x:v>
      </x:c>
    </x:row>
    <x:row r="15" ht="28" customHeight="1">
      <x:c r="A15" s="21" t="str">
        <x:v>MainRoadRight</x:v>
      </x:c>
      <x:c r="B15" s="21" t="str">
        <x:v>carRateSchedule_Right</x:v>
      </x:c>
      <x:c r="C15" s="21" t="str">
        <x:v>07:15–07:30</x:v>
      </x:c>
      <x:c r="D15" s="21" t="n">
        <x:v>15</x:v>
      </x:c>
      <x:c r="E15" s="38" t="n">
        <x:v>332</x:v>
      </x:c>
      <x:c r="F15" s="38" t="str">
        <x:v>PER_MINUTE</x:v>
      </x:c>
      <x:c r="G15" s="30" t="n">
        <x:v>5.533333333333333</x:v>
      </x:c>
      <x:c r="H15" s="31" t="n">
        <x:f>G15*D15</x:f>
        <x:v>83</x:v>
      </x:c>
      <x:c r="I15" s="31"/>
      <x:c r="J15" s="31"/>
      <x:c r="K15" s="21" t="str">
        <x:v>MODEL HR ASSUMPTION</x:v>
      </x:c>
      <x:c r="L15" s="21" t="str">
        <x:v>Same as above</x:v>
      </x:c>
      <x:c r="M15" s="21" t="str">
        <x:v>Main road lane right: raw numbers 48..332 treated as veh/hour</x:v>
      </x:c>
    </x:row>
    <x:row r="16" ht="28" customHeight="1">
      <x:c r="A16" s="24" t="str">
        <x:v>MainRoadRight</x:v>
      </x:c>
      <x:c r="B16" s="24" t="str">
        <x:v>carRateSchedule_Right</x:v>
      </x:c>
      <x:c r="C16" s="24" t="str">
        <x:v>07:30–07:45</x:v>
      </x:c>
      <x:c r="D16" s="24" t="n">
        <x:v>15</x:v>
      </x:c>
      <x:c r="E16" s="39" t="n">
        <x:v>260</x:v>
      </x:c>
      <x:c r="F16" s="39" t="str">
        <x:v>PER_MINUTE</x:v>
      </x:c>
      <x:c r="G16" s="30" t="n">
        <x:v>4.333333333333333</x:v>
      </x:c>
      <x:c r="H16" s="31" t="n">
        <x:f>G16*D16</x:f>
        <x:v>65</x:v>
      </x:c>
      <x:c r="I16" s="31"/>
      <x:c r="J16" s="31"/>
      <x:c r="K16" s="24" t="str">
        <x:v>MODEL HR ASSUMPTION</x:v>
      </x:c>
      <x:c r="L16" s="24" t="str">
        <x:v>Same as above</x:v>
      </x:c>
      <x:c r="M16" s="24" t="str">
        <x:v>Main road lane right: raw numbers 48..332 treated as veh/hour</x:v>
      </x:c>
    </x:row>
    <x:row r="17" ht="28" customHeight="1">
      <x:c r="A17" s="21" t="str">
        <x:v>MainRoadRight</x:v>
      </x:c>
      <x:c r="B17" s="21" t="str">
        <x:v>carRateSchedule_Right</x:v>
      </x:c>
      <x:c r="C17" s="21" t="str">
        <x:v>07:45–08:00</x:v>
      </x:c>
      <x:c r="D17" s="21" t="n">
        <x:v>15</x:v>
      </x:c>
      <x:c r="E17" s="38" t="n">
        <x:v>320</x:v>
      </x:c>
      <x:c r="F17" s="38" t="str">
        <x:v>PER_MINUTE</x:v>
      </x:c>
      <x:c r="G17" s="30" t="n">
        <x:v>5.333333333333333</x:v>
      </x:c>
      <x:c r="H17" s="31" t="n">
        <x:f>G17*D17</x:f>
        <x:v>80</x:v>
      </x:c>
      <x:c r="I17" s="31"/>
      <x:c r="J17" s="31"/>
      <x:c r="K17" s="21" t="str">
        <x:v>MODEL HR ASSUMPTION</x:v>
      </x:c>
      <x:c r="L17" s="21" t="str">
        <x:v>Same as above</x:v>
      </x:c>
      <x:c r="M17" s="21" t="str">
        <x:v>Main road lane right: raw numbers 48..332 treated as veh/hour</x:v>
      </x:c>
    </x:row>
    <x:row r="18" ht="28" customHeight="1">
      <x:c r="A18" s="24" t="str">
        <x:v>MainRoadRight</x:v>
      </x:c>
      <x:c r="B18" s="24" t="str">
        <x:v>carRateSchedule_Right</x:v>
      </x:c>
      <x:c r="C18" s="24" t="str">
        <x:v>08:00–08:10</x:v>
      </x:c>
      <x:c r="D18" s="24" t="n">
        <x:v>10</x:v>
      </x:c>
      <x:c r="E18" s="39" t="n">
        <x:v>196</x:v>
      </x:c>
      <x:c r="F18" s="39" t="str">
        <x:v>PER_MINUTE</x:v>
      </x:c>
      <x:c r="G18" s="30" t="n">
        <x:v>3.2666666666666666</x:v>
      </x:c>
      <x:c r="H18" s="31" t="n">
        <x:f>G18*D18</x:f>
        <x:v>32.666666666666664</x:v>
      </x:c>
      <x:c r="I18" s="31"/>
      <x:c r="J18" s="31"/>
      <x:c r="K18" s="24" t="str">
        <x:v>MODEL HR ASSUMPTION</x:v>
      </x:c>
      <x:c r="L18" s="24" t="str">
        <x:v>Same as above</x:v>
      </x:c>
      <x:c r="M18" s="24" t="str">
        <x:v>Main road lane right: raw numbers 48..332 treated as veh/hour</x:v>
      </x:c>
    </x:row>
    <x:row r="19" ht="28" customHeight="1">
      <x:c r="A19" s="21" t="str">
        <x:v>SideLane1</x:v>
      </x:c>
      <x:c r="B19" s="21" t="str">
        <x:v>SecondRoadSchedule_Left</x:v>
      </x:c>
      <x:c r="C19" s="21" t="str">
        <x:v>06:30–06:45</x:v>
      </x:c>
      <x:c r="D19" s="21" t="n">
        <x:v>15</x:v>
      </x:c>
      <x:c r="E19" s="38" t="n">
        <x:v>0.2</x:v>
      </x:c>
      <x:c r="F19" s="38" t="str">
        <x:v>PER_MINUTE</x:v>
      </x:c>
      <x:c r="G19" s="30" t="n">
        <x:f>FIELD_MOCK!D19/D19</x:f>
        <x:v>0.2</x:v>
      </x:c>
      <x:c r="H19" s="31" t="n">
        <x:f>G19*D19</x:f>
        <x:v>3</x:v>
      </x:c>
      <x:c r="I19" s="31" t="n">
        <x:f>FIELD_MOCK!D19</x:f>
        <x:v>3</x:v>
      </x:c>
      <x:c r="J19" s="31" t="n">
        <x:f>H19-I19</x:f>
        <x:v>0</x:v>
      </x:c>
      <x:c r="K19" s="21" t="str">
        <x:v>FIELD</x:v>
      </x:c>
      <x:c r="L19" s="21" t="str">
        <x:v>Link CarLeftSecond to schedule and ensure lane mapping</x:v>
      </x:c>
      <x:c r="M19" s="21" t="str">
        <x:v>Source CarLeftSecond currently fixed 3 veh/min; schedule exists but not linked</x:v>
      </x:c>
    </x:row>
    <x:row r="20" ht="28" customHeight="1">
      <x:c r="A20" s="24" t="str">
        <x:v>SideLane1</x:v>
      </x:c>
      <x:c r="B20" s="24" t="str">
        <x:v>SecondRoadSchedule_Left</x:v>
      </x:c>
      <x:c r="C20" s="24" t="str">
        <x:v>06:45–07:00</x:v>
      </x:c>
      <x:c r="D20" s="24" t="n">
        <x:v>15</x:v>
      </x:c>
      <x:c r="E20" s="39" t="n">
        <x:v>0.067</x:v>
      </x:c>
      <x:c r="F20" s="39" t="str">
        <x:v>PER_MINUTE</x:v>
      </x:c>
      <x:c r="G20" s="30" t="n">
        <x:f>FIELD_MOCK!D20/D20</x:f>
        <x:v>0.06666666666666667</x:v>
      </x:c>
      <x:c r="H20" s="31" t="n">
        <x:f>G20*D20</x:f>
        <x:v>1</x:v>
      </x:c>
      <x:c r="I20" s="31" t="n">
        <x:f>FIELD_MOCK!D20</x:f>
        <x:v>1</x:v>
      </x:c>
      <x:c r="J20" s="31" t="n">
        <x:f>H20-I20</x:f>
        <x:v>0</x:v>
      </x:c>
      <x:c r="K20" s="24" t="str">
        <x:v>FIELD</x:v>
      </x:c>
      <x:c r="L20" s="24" t="str">
        <x:v>Link CarLeftSecond to schedule and ensure lane mapping</x:v>
      </x:c>
      <x:c r="M20" s="24" t="str">
        <x:v>Source CarLeftSecond currently fixed 3 veh/min; schedule exists but not linked</x:v>
      </x:c>
    </x:row>
    <x:row r="21" ht="28" customHeight="1">
      <x:c r="A21" s="21" t="str">
        <x:v>SideLane1</x:v>
      </x:c>
      <x:c r="B21" s="21" t="str">
        <x:v>SecondRoadSchedule_Left</x:v>
      </x:c>
      <x:c r="C21" s="21" t="str">
        <x:v>07:00–07:15</x:v>
      </x:c>
      <x:c r="D21" s="21" t="n">
        <x:v>15</x:v>
      </x:c>
      <x:c r="E21" s="38" t="n">
        <x:v>2.133</x:v>
      </x:c>
      <x:c r="F21" s="38" t="str">
        <x:v>PER_MINUTE</x:v>
      </x:c>
      <x:c r="G21" s="30" t="n">
        <x:f>FIELD_MOCK!D21/D21</x:f>
        <x:v>2.1333333333333333</x:v>
      </x:c>
      <x:c r="H21" s="31" t="n">
        <x:f>G21*D21</x:f>
        <x:v>32</x:v>
      </x:c>
      <x:c r="I21" s="31" t="n">
        <x:f>FIELD_MOCK!D21</x:f>
        <x:v>32</x:v>
      </x:c>
      <x:c r="J21" s="31" t="n">
        <x:f>H21-I21</x:f>
        <x:v>0</x:v>
      </x:c>
      <x:c r="K21" s="21" t="str">
        <x:v>FIELD</x:v>
      </x:c>
      <x:c r="L21" s="21" t="str">
        <x:v>Link CarLeftSecond to schedule and ensure lane mapping</x:v>
      </x:c>
      <x:c r="M21" s="21" t="str">
        <x:v>Source CarLeftSecond currently fixed 3 veh/min; schedule exists but not linked</x:v>
      </x:c>
    </x:row>
    <x:row r="22" ht="28" customHeight="1">
      <x:c r="A22" s="24" t="str">
        <x:v>SideLane1</x:v>
      </x:c>
      <x:c r="B22" s="24" t="str">
        <x:v>SecondRoadSchedule_Left</x:v>
      </x:c>
      <x:c r="C22" s="24" t="str">
        <x:v>07:15–07:30</x:v>
      </x:c>
      <x:c r="D22" s="24" t="n">
        <x:v>15</x:v>
      </x:c>
      <x:c r="E22" s="39" t="n">
        <x:v>2.933</x:v>
      </x:c>
      <x:c r="F22" s="39" t="str">
        <x:v>PER_MINUTE</x:v>
      </x:c>
      <x:c r="G22" s="30" t="n">
        <x:f>FIELD_MOCK!D22/D22</x:f>
        <x:v>2.933333333333333</x:v>
      </x:c>
      <x:c r="H22" s="31" t="n">
        <x:f>G22*D22</x:f>
        <x:v>44</x:v>
      </x:c>
      <x:c r="I22" s="31" t="n">
        <x:f>FIELD_MOCK!D22</x:f>
        <x:v>44</x:v>
      </x:c>
      <x:c r="J22" s="31" t="n">
        <x:f>H22-I22</x:f>
        <x:v>0</x:v>
      </x:c>
      <x:c r="K22" s="24" t="str">
        <x:v>FIELD</x:v>
      </x:c>
      <x:c r="L22" s="24" t="str">
        <x:v>Link CarLeftSecond to schedule and ensure lane mapping</x:v>
      </x:c>
      <x:c r="M22" s="24" t="str">
        <x:v>Source CarLeftSecond currently fixed 3 veh/min; schedule exists but not linked</x:v>
      </x:c>
    </x:row>
    <x:row r="23" ht="28" customHeight="1">
      <x:c r="A23" s="21" t="str">
        <x:v>SideLane1</x:v>
      </x:c>
      <x:c r="B23" s="21" t="str">
        <x:v>SecondRoadSchedule_Left</x:v>
      </x:c>
      <x:c r="C23" s="21" t="str">
        <x:v>07:30–07:45</x:v>
      </x:c>
      <x:c r="D23" s="21" t="n">
        <x:v>15</x:v>
      </x:c>
      <x:c r="E23" s="38" t="n">
        <x:v>2.8</x:v>
      </x:c>
      <x:c r="F23" s="38" t="str">
        <x:v>PER_MINUTE</x:v>
      </x:c>
      <x:c r="G23" s="30" t="n">
        <x:f>FIELD_MOCK!D23/D23</x:f>
        <x:v>2.8</x:v>
      </x:c>
      <x:c r="H23" s="31" t="n">
        <x:f>G23*D23</x:f>
        <x:v>42</x:v>
      </x:c>
      <x:c r="I23" s="31" t="n">
        <x:f>FIELD_MOCK!D23</x:f>
        <x:v>42</x:v>
      </x:c>
      <x:c r="J23" s="31" t="n">
        <x:f>H23-I23</x:f>
        <x:v>0</x:v>
      </x:c>
      <x:c r="K23" s="21" t="str">
        <x:v>FIELD</x:v>
      </x:c>
      <x:c r="L23" s="21" t="str">
        <x:v>Link CarLeftSecond to schedule and ensure lane mapping</x:v>
      </x:c>
      <x:c r="M23" s="21" t="str">
        <x:v>Source CarLeftSecond currently fixed 3 veh/min; schedule exists but not linked</x:v>
      </x:c>
    </x:row>
    <x:row r="24" ht="28" customHeight="1">
      <x:c r="A24" s="24" t="str">
        <x:v>SideLane1</x:v>
      </x:c>
      <x:c r="B24" s="24" t="str">
        <x:v>SecondRoadSchedule_Left</x:v>
      </x:c>
      <x:c r="C24" s="24" t="str">
        <x:v>07:45–08:00</x:v>
      </x:c>
      <x:c r="D24" s="24" t="n">
        <x:v>15</x:v>
      </x:c>
      <x:c r="E24" s="39" t="n">
        <x:v>3.2</x:v>
      </x:c>
      <x:c r="F24" s="39" t="str">
        <x:v>PER_MINUTE</x:v>
      </x:c>
      <x:c r="G24" s="30" t="n">
        <x:f>FIELD_MOCK!D24/D24</x:f>
        <x:v>3.2</x:v>
      </x:c>
      <x:c r="H24" s="31" t="n">
        <x:f>G24*D24</x:f>
        <x:v>48</x:v>
      </x:c>
      <x:c r="I24" s="31" t="n">
        <x:f>FIELD_MOCK!D24</x:f>
        <x:v>48</x:v>
      </x:c>
      <x:c r="J24" s="31" t="n">
        <x:f>H24-I24</x:f>
        <x:v>0</x:v>
      </x:c>
      <x:c r="K24" s="24" t="str">
        <x:v>FIELD</x:v>
      </x:c>
      <x:c r="L24" s="24" t="str">
        <x:v>Link CarLeftSecond to schedule and ensure lane mapping</x:v>
      </x:c>
      <x:c r="M24" s="24" t="str">
        <x:v>Source CarLeftSecond currently fixed 3 veh/min; schedule exists but not linked</x:v>
      </x:c>
    </x:row>
    <x:row r="25" ht="28" customHeight="1">
      <x:c r="A25" s="21" t="str">
        <x:v>SideLane1</x:v>
      </x:c>
      <x:c r="B25" s="21" t="str">
        <x:v>SecondRoadSchedule_Left</x:v>
      </x:c>
      <x:c r="C25" s="21" t="str">
        <x:v>08:00–08:10</x:v>
      </x:c>
      <x:c r="D25" s="21" t="n">
        <x:v>10</x:v>
      </x:c>
      <x:c r="E25" s="38" t="n">
        <x:v>0.2</x:v>
      </x:c>
      <x:c r="F25" s="38" t="str">
        <x:v>PER_MINUTE</x:v>
      </x:c>
      <x:c r="G25" s="30" t="n">
        <x:f>FIELD_MOCK!D25/D25</x:f>
        <x:v>0.2</x:v>
      </x:c>
      <x:c r="H25" s="31" t="n">
        <x:f>G25*D25</x:f>
        <x:v>2</x:v>
      </x:c>
      <x:c r="I25" s="31" t="n">
        <x:f>FIELD_MOCK!D25</x:f>
        <x:v>2</x:v>
      </x:c>
      <x:c r="J25" s="31" t="n">
        <x:f>H25-I25</x:f>
        <x:v>0</x:v>
      </x:c>
      <x:c r="K25" s="21" t="str">
        <x:v>FIELD</x:v>
      </x:c>
      <x:c r="L25" s="21" t="str">
        <x:v>Link CarLeftSecond to schedule and ensure lane mapping</x:v>
      </x:c>
      <x:c r="M25" s="21" t="str">
        <x:v>Source CarLeftSecond currently fixed 3 veh/min; schedule exists but not linked</x:v>
      </x:c>
    </x:row>
    <x:row r="26" ht="28" customHeight="1">
      <x:c r="A26" s="24" t="str">
        <x:v>SideLane2</x:v>
      </x:c>
      <x:c r="B26" s="24" t="str">
        <x:v>SecondRoadSchedule_Right</x:v>
      </x:c>
      <x:c r="C26" s="24" t="str">
        <x:v>06:30–06:45</x:v>
      </x:c>
      <x:c r="D26" s="24" t="n">
        <x:v>15</x:v>
      </x:c>
      <x:c r="E26" s="39" t="n">
        <x:v>0.8</x:v>
      </x:c>
      <x:c r="F26" s="39" t="str">
        <x:v>PER_SECOND</x:v>
      </x:c>
      <x:c r="G26" s="30" t="n">
        <x:f>FIELD_MOCK!D26/D26</x:f>
        <x:v>0.8</x:v>
      </x:c>
      <x:c r="H26" s="31" t="n">
        <x:f>G26*D26</x:f>
        <x:v>12</x:v>
      </x:c>
      <x:c r="I26" s="31" t="n">
        <x:f>FIELD_MOCK!D26</x:f>
        <x:v>12</x:v>
      </x:c>
      <x:c r="J26" s="31" t="n">
        <x:f>H26-I26</x:f>
        <x:v>0</x:v>
      </x:c>
      <x:c r="K26" s="24" t="str">
        <x:v>FIELD</x:v>
      </x:c>
      <x:c r="L26" s="24" t="str">
        <x:v>Change schedule unit PER_SECOND→PER_MINUTE, link CarRightSecond</x:v>
      </x:c>
      <x:c r="M26" s="24" t="str">
        <x:v>CRITICAL current model unit PER_SECOND</x:v>
      </x:c>
    </x:row>
    <x:row r="27" ht="28" customHeight="1">
      <x:c r="A27" s="21" t="str">
        <x:v>SideLane2</x:v>
      </x:c>
      <x:c r="B27" s="21" t="str">
        <x:v>SecondRoadSchedule_Right</x:v>
      </x:c>
      <x:c r="C27" s="21" t="str">
        <x:v>06:45–07:00</x:v>
      </x:c>
      <x:c r="D27" s="21" t="n">
        <x:v>15</x:v>
      </x:c>
      <x:c r="E27" s="38" t="n">
        <x:v>1.867</x:v>
      </x:c>
      <x:c r="F27" s="38" t="str">
        <x:v>PER_SECOND</x:v>
      </x:c>
      <x:c r="G27" s="30" t="n">
        <x:f>FIELD_MOCK!D27/D27</x:f>
        <x:v>1.8666666666666667</x:v>
      </x:c>
      <x:c r="H27" s="31" t="n">
        <x:f>G27*D27</x:f>
        <x:v>28</x:v>
      </x:c>
      <x:c r="I27" s="31" t="n">
        <x:f>FIELD_MOCK!D27</x:f>
        <x:v>28</x:v>
      </x:c>
      <x:c r="J27" s="31" t="n">
        <x:f>H27-I27</x:f>
        <x:v>0</x:v>
      </x:c>
      <x:c r="K27" s="21" t="str">
        <x:v>FIELD</x:v>
      </x:c>
      <x:c r="L27" s="21" t="str">
        <x:v>Change schedule unit PER_SECOND→PER_MINUTE, link CarRightSecond</x:v>
      </x:c>
      <x:c r="M27" s="21" t="str">
        <x:v>CRITICAL current model unit PER_SECOND</x:v>
      </x:c>
    </x:row>
    <x:row r="28" ht="28" customHeight="1">
      <x:c r="A28" s="24" t="str">
        <x:v>SideLane2</x:v>
      </x:c>
      <x:c r="B28" s="24" t="str">
        <x:v>SecondRoadSchedule_Right</x:v>
      </x:c>
      <x:c r="C28" s="24" t="str">
        <x:v>07:00–07:15</x:v>
      </x:c>
      <x:c r="D28" s="24" t="n">
        <x:v>15</x:v>
      </x:c>
      <x:c r="E28" s="39" t="n">
        <x:v>3.2</x:v>
      </x:c>
      <x:c r="F28" s="39" t="str">
        <x:v>PER_SECOND</x:v>
      </x:c>
      <x:c r="G28" s="30" t="n">
        <x:f>FIELD_MOCK!D28/D28</x:f>
        <x:v>3.2</x:v>
      </x:c>
      <x:c r="H28" s="31" t="n">
        <x:f>G28*D28</x:f>
        <x:v>48</x:v>
      </x:c>
      <x:c r="I28" s="31" t="n">
        <x:f>FIELD_MOCK!D28</x:f>
        <x:v>48</x:v>
      </x:c>
      <x:c r="J28" s="31" t="n">
        <x:f>H28-I28</x:f>
        <x:v>0</x:v>
      </x:c>
      <x:c r="K28" s="24" t="str">
        <x:v>FIELD</x:v>
      </x:c>
      <x:c r="L28" s="24" t="str">
        <x:v>Change schedule unit PER_SECOND→PER_MINUTE, link CarRightSecond</x:v>
      </x:c>
      <x:c r="M28" s="24" t="str">
        <x:v>CRITICAL current model unit PER_SECOND</x:v>
      </x:c>
    </x:row>
    <x:row r="29" ht="28" customHeight="1">
      <x:c r="A29" s="21" t="str">
        <x:v>SideLane2</x:v>
      </x:c>
      <x:c r="B29" s="21" t="str">
        <x:v>SecondRoadSchedule_Right</x:v>
      </x:c>
      <x:c r="C29" s="21" t="str">
        <x:v>07:15–07:30</x:v>
      </x:c>
      <x:c r="D29" s="21" t="n">
        <x:v>15</x:v>
      </x:c>
      <x:c r="E29" s="38" t="n">
        <x:v>5.467</x:v>
      </x:c>
      <x:c r="F29" s="38" t="str">
        <x:v>PER_SECOND</x:v>
      </x:c>
      <x:c r="G29" s="30" t="n">
        <x:f>FIELD_MOCK!D29/D29</x:f>
        <x:v>5.466666666666667</x:v>
      </x:c>
      <x:c r="H29" s="31" t="n">
        <x:f>G29*D29</x:f>
        <x:v>82</x:v>
      </x:c>
      <x:c r="I29" s="31" t="n">
        <x:f>FIELD_MOCK!D29</x:f>
        <x:v>82</x:v>
      </x:c>
      <x:c r="J29" s="31" t="n">
        <x:f>H29-I29</x:f>
        <x:v>0</x:v>
      </x:c>
      <x:c r="K29" s="21" t="str">
        <x:v>FIELD</x:v>
      </x:c>
      <x:c r="L29" s="21" t="str">
        <x:v>Change schedule unit PER_SECOND→PER_MINUTE, link CarRightSecond</x:v>
      </x:c>
      <x:c r="M29" s="21" t="str">
        <x:v>CRITICAL current model unit PER_SECOND</x:v>
      </x:c>
    </x:row>
    <x:row r="30" ht="28" customHeight="1">
      <x:c r="A30" s="24" t="str">
        <x:v>SideLane2</x:v>
      </x:c>
      <x:c r="B30" s="24" t="str">
        <x:v>SecondRoadSchedule_Right</x:v>
      </x:c>
      <x:c r="C30" s="24" t="str">
        <x:v>07:30–07:45</x:v>
      </x:c>
      <x:c r="D30" s="24" t="n">
        <x:v>15</x:v>
      </x:c>
      <x:c r="E30" s="39" t="n">
        <x:v>4.333</x:v>
      </x:c>
      <x:c r="F30" s="39" t="str">
        <x:v>PER_SECOND</x:v>
      </x:c>
      <x:c r="G30" s="30" t="n">
        <x:f>FIELD_MOCK!D30/D30</x:f>
        <x:v>4.333333333333333</x:v>
      </x:c>
      <x:c r="H30" s="31" t="n">
        <x:f>G30*D30</x:f>
        <x:v>65</x:v>
      </x:c>
      <x:c r="I30" s="31" t="n">
        <x:f>FIELD_MOCK!D30</x:f>
        <x:v>65</x:v>
      </x:c>
      <x:c r="J30" s="31" t="n">
        <x:f>H30-I30</x:f>
        <x:v>0</x:v>
      </x:c>
      <x:c r="K30" s="24" t="str">
        <x:v>FIELD</x:v>
      </x:c>
      <x:c r="L30" s="24" t="str">
        <x:v>Change schedule unit PER_SECOND→PER_MINUTE, link CarRightSecond</x:v>
      </x:c>
      <x:c r="M30" s="24" t="str">
        <x:v>CRITICAL current model unit PER_SECOND</x:v>
      </x:c>
    </x:row>
    <x:row r="31" ht="28" customHeight="1">
      <x:c r="A31" s="21" t="str">
        <x:v>SideLane2</x:v>
      </x:c>
      <x:c r="B31" s="21" t="str">
        <x:v>SecondRoadSchedule_Right</x:v>
      </x:c>
      <x:c r="C31" s="21" t="str">
        <x:v>07:45–08:00</x:v>
      </x:c>
      <x:c r="D31" s="21" t="n">
        <x:v>15</x:v>
      </x:c>
      <x:c r="E31" s="38" t="n">
        <x:v>5.533</x:v>
      </x:c>
      <x:c r="F31" s="38" t="str">
        <x:v>PER_SECOND</x:v>
      </x:c>
      <x:c r="G31" s="30" t="n">
        <x:f>FIELD_MOCK!D31/D31</x:f>
        <x:v>5.533333333333333</x:v>
      </x:c>
      <x:c r="H31" s="31" t="n">
        <x:f>G31*D31</x:f>
        <x:v>83</x:v>
      </x:c>
      <x:c r="I31" s="31" t="n">
        <x:f>FIELD_MOCK!D31</x:f>
        <x:v>83</x:v>
      </x:c>
      <x:c r="J31" s="31" t="n">
        <x:f>H31-I31</x:f>
        <x:v>0</x:v>
      </x:c>
      <x:c r="K31" s="21" t="str">
        <x:v>FIELD</x:v>
      </x:c>
      <x:c r="L31" s="21" t="str">
        <x:v>Change schedule unit PER_SECOND→PER_MINUTE, link CarRightSecond</x:v>
      </x:c>
      <x:c r="M31" s="21" t="str">
        <x:v>CRITICAL current model unit PER_SECOND</x:v>
      </x:c>
    </x:row>
    <x:row r="32" ht="28" customHeight="1">
      <x:c r="A32" s="24" t="str">
        <x:v>SideLane2</x:v>
      </x:c>
      <x:c r="B32" s="24" t="str">
        <x:v>SecondRoadSchedule_Right</x:v>
      </x:c>
      <x:c r="C32" s="24" t="str">
        <x:v>08:00–08:10</x:v>
      </x:c>
      <x:c r="D32" s="24" t="n">
        <x:v>10</x:v>
      </x:c>
      <x:c r="E32" s="39" t="n">
        <x:v>3.3</x:v>
      </x:c>
      <x:c r="F32" s="39" t="str">
        <x:v>PER_SECOND</x:v>
      </x:c>
      <x:c r="G32" s="30" t="n">
        <x:f>FIELD_MOCK!D32/D32</x:f>
        <x:v>3.3</x:v>
      </x:c>
      <x:c r="H32" s="31" t="n">
        <x:f>G32*D32</x:f>
        <x:v>33</x:v>
      </x:c>
      <x:c r="I32" s="31" t="n">
        <x:f>FIELD_MOCK!D32</x:f>
        <x:v>33</x:v>
      </x:c>
      <x:c r="J32" s="31" t="n">
        <x:f>H32-I32</x:f>
        <x:v>0</x:v>
      </x:c>
      <x:c r="K32" s="24" t="str">
        <x:v>FIELD</x:v>
      </x:c>
      <x:c r="L32" s="24" t="str">
        <x:v>Change schedule unit PER_SECOND→PER_MINUTE, link CarRightSecond</x:v>
      </x:c>
      <x:c r="M32" s="24" t="str">
        <x:v>CRITICAL current model unit PER_SECOND</x:v>
      </x:c>
    </x:row>
    <x:row r="33" ht="28" customHeight="1">
      <x:c r="A33" s="21" t="str">
        <x:v>ParkingMainIN</x:v>
      </x:c>
      <x:c r="B33" s="21" t="str">
        <x:v>mainParkingInSchedule</x:v>
      </x:c>
      <x:c r="C33" s="21" t="str">
        <x:v>06:30–06:45</x:v>
      </x:c>
      <x:c r="D33" s="21" t="n">
        <x:v>15</x:v>
      </x:c>
      <x:c r="E33" s="38" t="n">
        <x:v>1.4</x:v>
      </x:c>
      <x:c r="F33" s="38" t="str">
        <x:v>PER_MINUTE</x:v>
      </x:c>
      <x:c r="G33" s="30" t="n">
        <x:f>FIELD_MOCK!D33/D33</x:f>
        <x:v>1.4</x:v>
      </x:c>
      <x:c r="H33" s="31" t="n">
        <x:f>G33*D33</x:f>
        <x:v>21</x:v>
      </x:c>
      <x:c r="I33" s="31" t="n">
        <x:f>FIELD_MOCK!D33</x:f>
        <x:v>21</x:v>
      </x:c>
      <x:c r="J33" s="31" t="n">
        <x:f>H33-I33</x:f>
        <x:v>0</x:v>
      </x:c>
      <x:c r="K33" s="21" t="str">
        <x:v>FIELD</x:v>
      </x:c>
      <x:c r="L33" s="21" t="str">
        <x:v>Route existing main-road traffic to parking, do not generate extra CarSource</x:v>
      </x:c>
      <x:c r="M33" s="21" t="str">
        <x:v>IN schedule exists; effective model flow not yet confirmed</x:v>
      </x:c>
    </x:row>
    <x:row r="34" ht="28" customHeight="1">
      <x:c r="A34" s="24" t="str">
        <x:v>ParkingMainIN</x:v>
      </x:c>
      <x:c r="B34" s="24" t="str">
        <x:v>mainParkingInSchedule</x:v>
      </x:c>
      <x:c r="C34" s="24" t="str">
        <x:v>06:45–07:00</x:v>
      </x:c>
      <x:c r="D34" s="24" t="n">
        <x:v>15</x:v>
      </x:c>
      <x:c r="E34" s="39" t="n">
        <x:v>1.667</x:v>
      </x:c>
      <x:c r="F34" s="39" t="str">
        <x:v>PER_MINUTE</x:v>
      </x:c>
      <x:c r="G34" s="30" t="n">
        <x:f>FIELD_MOCK!D34/D34</x:f>
        <x:v>1.6666666666666667</x:v>
      </x:c>
      <x:c r="H34" s="31" t="n">
        <x:f>G34*D34</x:f>
        <x:v>25</x:v>
      </x:c>
      <x:c r="I34" s="31" t="n">
        <x:f>FIELD_MOCK!D34</x:f>
        <x:v>25</x:v>
      </x:c>
      <x:c r="J34" s="31" t="n">
        <x:f>H34-I34</x:f>
        <x:v>0</x:v>
      </x:c>
      <x:c r="K34" s="24" t="str">
        <x:v>FIELD</x:v>
      </x:c>
      <x:c r="L34" s="24" t="str">
        <x:v>Route existing main-road traffic to parking, do not generate extra CarSource</x:v>
      </x:c>
      <x:c r="M34" s="24" t="str">
        <x:v>IN schedule exists; effective model flow not yet confirmed</x:v>
      </x:c>
    </x:row>
    <x:row r="35" ht="28" customHeight="1">
      <x:c r="A35" s="21" t="str">
        <x:v>ParkingMainIN</x:v>
      </x:c>
      <x:c r="B35" s="21" t="str">
        <x:v>mainParkingInSchedule</x:v>
      </x:c>
      <x:c r="C35" s="21" t="str">
        <x:v>07:00–07:15</x:v>
      </x:c>
      <x:c r="D35" s="21" t="n">
        <x:v>15</x:v>
      </x:c>
      <x:c r="E35" s="38" t="n">
        <x:v>3</x:v>
      </x:c>
      <x:c r="F35" s="38" t="str">
        <x:v>PER_MINUTE</x:v>
      </x:c>
      <x:c r="G35" s="30" t="n">
        <x:f>FIELD_MOCK!D35/D35</x:f>
        <x:v>3</x:v>
      </x:c>
      <x:c r="H35" s="31" t="n">
        <x:f>G35*D35</x:f>
        <x:v>45</x:v>
      </x:c>
      <x:c r="I35" s="31" t="n">
        <x:f>FIELD_MOCK!D35</x:f>
        <x:v>45</x:v>
      </x:c>
      <x:c r="J35" s="31" t="n">
        <x:f>H35-I35</x:f>
        <x:v>0</x:v>
      </x:c>
      <x:c r="K35" s="21" t="str">
        <x:v>FIELD</x:v>
      </x:c>
      <x:c r="L35" s="21" t="str">
        <x:v>Route existing main-road traffic to parking, do not generate extra CarSource</x:v>
      </x:c>
      <x:c r="M35" s="21" t="str">
        <x:v>IN schedule exists; effective model flow not yet confirmed</x:v>
      </x:c>
    </x:row>
    <x:row r="36" ht="28" customHeight="1">
      <x:c r="A36" s="24" t="str">
        <x:v>ParkingMainIN</x:v>
      </x:c>
      <x:c r="B36" s="24" t="str">
        <x:v>mainParkingInSchedule</x:v>
      </x:c>
      <x:c r="C36" s="24" t="str">
        <x:v>07:15–07:30</x:v>
      </x:c>
      <x:c r="D36" s="24" t="n">
        <x:v>15</x:v>
      </x:c>
      <x:c r="E36" s="39" t="n">
        <x:v>1.267</x:v>
      </x:c>
      <x:c r="F36" s="39" t="str">
        <x:v>PER_MINUTE</x:v>
      </x:c>
      <x:c r="G36" s="30" t="n">
        <x:f>FIELD_MOCK!D36/D36</x:f>
        <x:v>1.2666666666666666</x:v>
      </x:c>
      <x:c r="H36" s="31" t="n">
        <x:f>G36*D36</x:f>
        <x:v>19</x:v>
      </x:c>
      <x:c r="I36" s="31" t="n">
        <x:f>FIELD_MOCK!D36</x:f>
        <x:v>19</x:v>
      </x:c>
      <x:c r="J36" s="31" t="n">
        <x:f>H36-I36</x:f>
        <x:v>0</x:v>
      </x:c>
      <x:c r="K36" s="24" t="str">
        <x:v>FIELD</x:v>
      </x:c>
      <x:c r="L36" s="24" t="str">
        <x:v>Route existing main-road traffic to parking, do not generate extra CarSource</x:v>
      </x:c>
      <x:c r="M36" s="24" t="str">
        <x:v>IN schedule exists; effective model flow not yet confirmed</x:v>
      </x:c>
    </x:row>
    <x:row r="37" ht="28" customHeight="1">
      <x:c r="A37" s="21" t="str">
        <x:v>ParkingMainIN</x:v>
      </x:c>
      <x:c r="B37" s="21" t="str">
        <x:v>mainParkingInSchedule</x:v>
      </x:c>
      <x:c r="C37" s="21" t="str">
        <x:v>07:30–07:45</x:v>
      </x:c>
      <x:c r="D37" s="21" t="n">
        <x:v>15</x:v>
      </x:c>
      <x:c r="E37" s="38" t="n">
        <x:v>1.667</x:v>
      </x:c>
      <x:c r="F37" s="38" t="str">
        <x:v>PER_MINUTE</x:v>
      </x:c>
      <x:c r="G37" s="30" t="n">
        <x:f>FIELD_MOCK!D37/D37</x:f>
        <x:v>1.6666666666666667</x:v>
      </x:c>
      <x:c r="H37" s="31" t="n">
        <x:f>G37*D37</x:f>
        <x:v>25</x:v>
      </x:c>
      <x:c r="I37" s="31" t="n">
        <x:f>FIELD_MOCK!D37</x:f>
        <x:v>25</x:v>
      </x:c>
      <x:c r="J37" s="31" t="n">
        <x:f>H37-I37</x:f>
        <x:v>0</x:v>
      </x:c>
      <x:c r="K37" s="21" t="str">
        <x:v>FIELD</x:v>
      </x:c>
      <x:c r="L37" s="21" t="str">
        <x:v>Route existing main-road traffic to parking, do not generate extra CarSource</x:v>
      </x:c>
      <x:c r="M37" s="21" t="str">
        <x:v>IN schedule exists; effective model flow not yet confirmed</x:v>
      </x:c>
    </x:row>
    <x:row r="38" ht="28" customHeight="1">
      <x:c r="A38" s="24" t="str">
        <x:v>ParkingMainIN</x:v>
      </x:c>
      <x:c r="B38" s="24" t="str">
        <x:v>mainParkingInSchedule</x:v>
      </x:c>
      <x:c r="C38" s="24" t="str">
        <x:v>07:45–08:00</x:v>
      </x:c>
      <x:c r="D38" s="24" t="n">
        <x:v>15</x:v>
      </x:c>
      <x:c r="E38" s="39" t="n">
        <x:v>0.867</x:v>
      </x:c>
      <x:c r="F38" s="39" t="str">
        <x:v>PER_MINUTE</x:v>
      </x:c>
      <x:c r="G38" s="30" t="n">
        <x:f>FIELD_MOCK!D38/D38</x:f>
        <x:v>0.8666666666666667</x:v>
      </x:c>
      <x:c r="H38" s="31" t="n">
        <x:f>G38*D38</x:f>
        <x:v>13</x:v>
      </x:c>
      <x:c r="I38" s="31" t="n">
        <x:f>FIELD_MOCK!D38</x:f>
        <x:v>13</x:v>
      </x:c>
      <x:c r="J38" s="31" t="n">
        <x:f>H38-I38</x:f>
        <x:v>0</x:v>
      </x:c>
      <x:c r="K38" s="24" t="str">
        <x:v>FIELD</x:v>
      </x:c>
      <x:c r="L38" s="24" t="str">
        <x:v>Route existing main-road traffic to parking, do not generate extra CarSource</x:v>
      </x:c>
      <x:c r="M38" s="24" t="str">
        <x:v>IN schedule exists; effective model flow not yet confirmed</x:v>
      </x:c>
    </x:row>
    <x:row r="39" ht="28" customHeight="1">
      <x:c r="A39" s="21" t="str">
        <x:v>ParkingMainIN</x:v>
      </x:c>
      <x:c r="B39" s="21" t="str">
        <x:v>mainParkingInSchedule</x:v>
      </x:c>
      <x:c r="C39" s="21" t="str">
        <x:v>08:00–08:10</x:v>
      </x:c>
      <x:c r="D39" s="21" t="n">
        <x:v>10</x:v>
      </x:c>
      <x:c r="E39" s="38" t="n">
        <x:v>0</x:v>
      </x:c>
      <x:c r="F39" s="38" t="str">
        <x:v>PER_MINUTE</x:v>
      </x:c>
      <x:c r="G39" s="30" t="n">
        <x:f>FIELD_MOCK!D39/D39</x:f>
        <x:v>0.3</x:v>
      </x:c>
      <x:c r="H39" s="31" t="n">
        <x:f>G39*D39</x:f>
        <x:v>3</x:v>
      </x:c>
      <x:c r="I39" s="31" t="n">
        <x:f>FIELD_MOCK!D39</x:f>
        <x:v>3</x:v>
      </x:c>
      <x:c r="J39" s="31" t="n">
        <x:f>H39-I39</x:f>
        <x:v>0</x:v>
      </x:c>
      <x:c r="K39" s="21" t="str">
        <x:v>FIELD</x:v>
      </x:c>
      <x:c r="L39" s="21" t="str">
        <x:v>Route existing main-road traffic to parking, do not generate extra CarSource</x:v>
      </x:c>
      <x:c r="M39" s="21" t="str">
        <x:v>IN schedule exists; effective model flow not yet confirmed</x:v>
      </x:c>
    </x:row>
    <x:row r="40" ht="28" customHeight="1">
      <x:c r="A40" s="24" t="str">
        <x:v>ParkingMainOUT</x:v>
      </x:c>
      <x:c r="B40" s="24" t="str">
        <x:v>mainParkingOutSchedule</x:v>
      </x:c>
      <x:c r="C40" s="24" t="str">
        <x:v>06:30–06:45</x:v>
      </x:c>
      <x:c r="D40" s="24" t="n">
        <x:v>15</x:v>
      </x:c>
      <x:c r="E40" s="39" t="n">
        <x:v>0</x:v>
      </x:c>
      <x:c r="F40" s="39" t="str">
        <x:v>PER_MINUTE</x:v>
      </x:c>
      <x:c r="G40" s="30" t="n">
        <x:f>FIELD_MOCK!D40/D40</x:f>
        <x:v>0</x:v>
      </x:c>
      <x:c r="H40" s="31" t="n">
        <x:f>G40*D40</x:f>
        <x:v>0</x:v>
      </x:c>
      <x:c r="I40" s="31" t="n">
        <x:f>FIELD_MOCK!D40</x:f>
        <x:v>0</x:v>
      </x:c>
      <x:c r="J40" s="31" t="n">
        <x:f>H40-I40</x:f>
        <x:v>0</x:v>
      </x:c>
      <x:c r="K40" s="24" t="str">
        <x:v>FIELD</x:v>
      </x:c>
      <x:c r="L40" s="24" t="str">
        <x:v>carSource arrivalType=RATE_SCHEDULE</x:v>
      </x:c>
      <x:c r="M40" s="24" t="str">
        <x:v>OUT car source linked</x:v>
      </x:c>
    </x:row>
    <x:row r="41" ht="28" customHeight="1">
      <x:c r="A41" s="21" t="str">
        <x:v>ParkingMainOUT</x:v>
      </x:c>
      <x:c r="B41" s="21" t="str">
        <x:v>mainParkingOutSchedule</x:v>
      </x:c>
      <x:c r="C41" s="21" t="str">
        <x:v>06:45–07:00</x:v>
      </x:c>
      <x:c r="D41" s="21" t="n">
        <x:v>15</x:v>
      </x:c>
      <x:c r="E41" s="38" t="n">
        <x:v>0.467</x:v>
      </x:c>
      <x:c r="F41" s="38" t="str">
        <x:v>PER_MINUTE</x:v>
      </x:c>
      <x:c r="G41" s="30" t="n">
        <x:f>FIELD_MOCK!D41/D41</x:f>
        <x:v>0.4666666666666667</x:v>
      </x:c>
      <x:c r="H41" s="31" t="n">
        <x:f>G41*D41</x:f>
        <x:v>7</x:v>
      </x:c>
      <x:c r="I41" s="31" t="n">
        <x:f>FIELD_MOCK!D41</x:f>
        <x:v>7</x:v>
      </x:c>
      <x:c r="J41" s="31" t="n">
        <x:f>H41-I41</x:f>
        <x:v>0</x:v>
      </x:c>
      <x:c r="K41" s="21" t="str">
        <x:v>FIELD</x:v>
      </x:c>
      <x:c r="L41" s="21" t="str">
        <x:v>carSource arrivalType=RATE_SCHEDULE</x:v>
      </x:c>
      <x:c r="M41" s="21" t="str">
        <x:v>OUT car source linked</x:v>
      </x:c>
    </x:row>
    <x:row r="42" ht="28" customHeight="1">
      <x:c r="A42" s="24" t="str">
        <x:v>ParkingMainOUT</x:v>
      </x:c>
      <x:c r="B42" s="24" t="str">
        <x:v>mainParkingOutSchedule</x:v>
      </x:c>
      <x:c r="C42" s="24" t="str">
        <x:v>07:00–07:15</x:v>
      </x:c>
      <x:c r="D42" s="24" t="n">
        <x:v>15</x:v>
      </x:c>
      <x:c r="E42" s="39" t="n">
        <x:v>0.933</x:v>
      </x:c>
      <x:c r="F42" s="39" t="str">
        <x:v>PER_MINUTE</x:v>
      </x:c>
      <x:c r="G42" s="30" t="n">
        <x:f>FIELD_MOCK!D42/D42</x:f>
        <x:v>0.9333333333333333</x:v>
      </x:c>
      <x:c r="H42" s="31" t="n">
        <x:f>G42*D42</x:f>
        <x:v>14</x:v>
      </x:c>
      <x:c r="I42" s="31" t="n">
        <x:f>FIELD_MOCK!D42</x:f>
        <x:v>14</x:v>
      </x:c>
      <x:c r="J42" s="31" t="n">
        <x:f>H42-I42</x:f>
        <x:v>0</x:v>
      </x:c>
      <x:c r="K42" s="24" t="str">
        <x:v>FIELD</x:v>
      </x:c>
      <x:c r="L42" s="24" t="str">
        <x:v>carSource arrivalType=RATE_SCHEDULE</x:v>
      </x:c>
      <x:c r="M42" s="24" t="str">
        <x:v>OUT car source linked</x:v>
      </x:c>
    </x:row>
    <x:row r="43" ht="28" customHeight="1">
      <x:c r="A43" s="21" t="str">
        <x:v>ParkingMainOUT</x:v>
      </x:c>
      <x:c r="B43" s="21" t="str">
        <x:v>mainParkingOutSchedule</x:v>
      </x:c>
      <x:c r="C43" s="21" t="str">
        <x:v>07:15–07:30</x:v>
      </x:c>
      <x:c r="D43" s="21" t="n">
        <x:v>15</x:v>
      </x:c>
      <x:c r="E43" s="38" t="n">
        <x:v>0.667</x:v>
      </x:c>
      <x:c r="F43" s="38" t="str">
        <x:v>PER_MINUTE</x:v>
      </x:c>
      <x:c r="G43" s="30" t="n">
        <x:f>FIELD_MOCK!D43/D43</x:f>
        <x:v>0.6666666666666666</x:v>
      </x:c>
      <x:c r="H43" s="31" t="n">
        <x:f>G43*D43</x:f>
        <x:v>10</x:v>
      </x:c>
      <x:c r="I43" s="31" t="n">
        <x:f>FIELD_MOCK!D43</x:f>
        <x:v>10</x:v>
      </x:c>
      <x:c r="J43" s="31" t="n">
        <x:f>H43-I43</x:f>
        <x:v>0</x:v>
      </x:c>
      <x:c r="K43" s="21" t="str">
        <x:v>FIELD</x:v>
      </x:c>
      <x:c r="L43" s="21" t="str">
        <x:v>carSource arrivalType=RATE_SCHEDULE</x:v>
      </x:c>
      <x:c r="M43" s="21" t="str">
        <x:v>OUT car source linked</x:v>
      </x:c>
    </x:row>
    <x:row r="44" ht="28" customHeight="1">
      <x:c r="A44" s="24" t="str">
        <x:v>ParkingMainOUT</x:v>
      </x:c>
      <x:c r="B44" s="24" t="str">
        <x:v>mainParkingOutSchedule</x:v>
      </x:c>
      <x:c r="C44" s="24" t="str">
        <x:v>07:30–07:45</x:v>
      </x:c>
      <x:c r="D44" s="24" t="n">
        <x:v>15</x:v>
      </x:c>
      <x:c r="E44" s="39" t="n">
        <x:v>0.933</x:v>
      </x:c>
      <x:c r="F44" s="39" t="str">
        <x:v>PER_MINUTE</x:v>
      </x:c>
      <x:c r="G44" s="30" t="n">
        <x:f>FIELD_MOCK!D44/D44</x:f>
        <x:v>0.9333333333333333</x:v>
      </x:c>
      <x:c r="H44" s="31" t="n">
        <x:f>G44*D44</x:f>
        <x:v>14</x:v>
      </x:c>
      <x:c r="I44" s="31" t="n">
        <x:f>FIELD_MOCK!D44</x:f>
        <x:v>14</x:v>
      </x:c>
      <x:c r="J44" s="31" t="n">
        <x:f>H44-I44</x:f>
        <x:v>0</x:v>
      </x:c>
      <x:c r="K44" s="24" t="str">
        <x:v>FIELD</x:v>
      </x:c>
      <x:c r="L44" s="24" t="str">
        <x:v>carSource arrivalType=RATE_SCHEDULE</x:v>
      </x:c>
      <x:c r="M44" s="24" t="str">
        <x:v>OUT car source linked</x:v>
      </x:c>
    </x:row>
    <x:row r="45" ht="28" customHeight="1">
      <x:c r="A45" s="21" t="str">
        <x:v>ParkingMainOUT</x:v>
      </x:c>
      <x:c r="B45" s="21" t="str">
        <x:v>mainParkingOutSchedule</x:v>
      </x:c>
      <x:c r="C45" s="21" t="str">
        <x:v>07:45–08:00</x:v>
      </x:c>
      <x:c r="D45" s="21" t="n">
        <x:v>15</x:v>
      </x:c>
      <x:c r="E45" s="38" t="n">
        <x:v>2.4</x:v>
      </x:c>
      <x:c r="F45" s="38" t="str">
        <x:v>PER_MINUTE</x:v>
      </x:c>
      <x:c r="G45" s="30" t="n">
        <x:f>FIELD_MOCK!D45/D45</x:f>
        <x:v>2.4</x:v>
      </x:c>
      <x:c r="H45" s="31" t="n">
        <x:f>G45*D45</x:f>
        <x:v>36</x:v>
      </x:c>
      <x:c r="I45" s="31" t="n">
        <x:f>FIELD_MOCK!D45</x:f>
        <x:v>36</x:v>
      </x:c>
      <x:c r="J45" s="31" t="n">
        <x:f>H45-I45</x:f>
        <x:v>0</x:v>
      </x:c>
      <x:c r="K45" s="21" t="str">
        <x:v>FIELD</x:v>
      </x:c>
      <x:c r="L45" s="21" t="str">
        <x:v>carSource arrivalType=RATE_SCHEDULE</x:v>
      </x:c>
      <x:c r="M45" s="21" t="str">
        <x:v>OUT car source linked</x:v>
      </x:c>
    </x:row>
    <x:row r="46" ht="28" customHeight="1">
      <x:c r="A46" s="24" t="str">
        <x:v>ParkingMainOUT</x:v>
      </x:c>
      <x:c r="B46" s="24" t="str">
        <x:v>mainParkingOutSchedule</x:v>
      </x:c>
      <x:c r="C46" s="24" t="str">
        <x:v>08:00–08:10</x:v>
      </x:c>
      <x:c r="D46" s="24" t="n">
        <x:v>10</x:v>
      </x:c>
      <x:c r="E46" s="39" t="n">
        <x:v>0.7</x:v>
      </x:c>
      <x:c r="F46" s="39" t="str">
        <x:v>PER_MINUTE</x:v>
      </x:c>
      <x:c r="G46" s="30" t="n">
        <x:f>FIELD_MOCK!D46/D46</x:f>
        <x:v>0.7</x:v>
      </x:c>
      <x:c r="H46" s="31" t="n">
        <x:f>G46*D46</x:f>
        <x:v>7</x:v>
      </x:c>
      <x:c r="I46" s="31" t="n">
        <x:f>FIELD_MOCK!D46</x:f>
        <x:v>7</x:v>
      </x:c>
      <x:c r="J46" s="31" t="n">
        <x:f>H46-I46</x:f>
        <x:v>0</x:v>
      </x:c>
      <x:c r="K46" s="24" t="str">
        <x:v>FIELD</x:v>
      </x:c>
      <x:c r="L46" s="24" t="str">
        <x:v>carSource arrivalType=RATE_SCHEDULE</x:v>
      </x:c>
      <x:c r="M46" s="24" t="str">
        <x:v>OUT car source linked</x:v>
      </x:c>
    </x:row>
    <x:row r="47" ht="28" customHeight="1">
      <x:c r="A47" s="21" t="str">
        <x:v>ParkingSecondIN</x:v>
      </x:c>
      <x:c r="B47" s="21" t="str">
        <x:v>secondaryParkingInSchedule</x:v>
      </x:c>
      <x:c r="C47" s="21" t="str">
        <x:v>06:30–06:45</x:v>
      </x:c>
      <x:c r="D47" s="21" t="n">
        <x:v>15</x:v>
      </x:c>
      <x:c r="E47" s="38" t="n">
        <x:v>1.4</x:v>
      </x:c>
      <x:c r="F47" s="38" t="str">
        <x:v>PER_MINUTE</x:v>
      </x:c>
      <x:c r="G47" s="30" t="n">
        <x:f>FIELD_MOCK!D47/D47</x:f>
        <x:v>0.2</x:v>
      </x:c>
      <x:c r="H47" s="31" t="n">
        <x:f>G47*D47</x:f>
        <x:v>3</x:v>
      </x:c>
      <x:c r="I47" s="31" t="n">
        <x:f>FIELD_MOCK!D47</x:f>
        <x:v>3</x:v>
      </x:c>
      <x:c r="J47" s="31" t="n">
        <x:f>H47-I47</x:f>
        <x:v>0</x:v>
      </x:c>
      <x:c r="K47" s="21" t="str">
        <x:v>FIELD</x:v>
      </x:c>
      <x:c r="L47" s="21" t="str">
        <x:v>Correct copied values from main IN; then route existing cars</x:v>
      </x:c>
      <x:c r="M47" s="21" t="str">
        <x:v>CURRENT schedule duplicates mainParkingInSchedule, wrong vs counts</x:v>
      </x:c>
    </x:row>
    <x:row r="48" ht="28" customHeight="1">
      <x:c r="A48" s="24" t="str">
        <x:v>ParkingSecondIN</x:v>
      </x:c>
      <x:c r="B48" s="24" t="str">
        <x:v>secondaryParkingInSchedule</x:v>
      </x:c>
      <x:c r="C48" s="24" t="str">
        <x:v>06:45–07:00</x:v>
      </x:c>
      <x:c r="D48" s="24" t="n">
        <x:v>15</x:v>
      </x:c>
      <x:c r="E48" s="39" t="n">
        <x:v>1.667</x:v>
      </x:c>
      <x:c r="F48" s="39" t="str">
        <x:v>PER_MINUTE</x:v>
      </x:c>
      <x:c r="G48" s="30" t="n">
        <x:f>FIELD_MOCK!D48/D48</x:f>
        <x:v>0.2</x:v>
      </x:c>
      <x:c r="H48" s="31" t="n">
        <x:f>G48*D48</x:f>
        <x:v>3</x:v>
      </x:c>
      <x:c r="I48" s="31" t="n">
        <x:f>FIELD_MOCK!D48</x:f>
        <x:v>3</x:v>
      </x:c>
      <x:c r="J48" s="31" t="n">
        <x:f>H48-I48</x:f>
        <x:v>0</x:v>
      </x:c>
      <x:c r="K48" s="24" t="str">
        <x:v>FIELD</x:v>
      </x:c>
      <x:c r="L48" s="24" t="str">
        <x:v>Correct copied values from main IN; then route existing cars</x:v>
      </x:c>
      <x:c r="M48" s="24" t="str">
        <x:v>CURRENT schedule duplicates mainParkingInSchedule, wrong vs counts</x:v>
      </x:c>
    </x:row>
    <x:row r="49" ht="28" customHeight="1">
      <x:c r="A49" s="21" t="str">
        <x:v>ParkingSecondIN</x:v>
      </x:c>
      <x:c r="B49" s="21" t="str">
        <x:v>secondaryParkingInSchedule</x:v>
      </x:c>
      <x:c r="C49" s="21" t="str">
        <x:v>07:00–07:15</x:v>
      </x:c>
      <x:c r="D49" s="21" t="n">
        <x:v>15</x:v>
      </x:c>
      <x:c r="E49" s="38" t="n">
        <x:v>3</x:v>
      </x:c>
      <x:c r="F49" s="38" t="str">
        <x:v>PER_MINUTE</x:v>
      </x:c>
      <x:c r="G49" s="30" t="n">
        <x:f>FIELD_MOCK!D49/D49</x:f>
        <x:v>0.4</x:v>
      </x:c>
      <x:c r="H49" s="31" t="n">
        <x:f>G49*D49</x:f>
        <x:v>6</x:v>
      </x:c>
      <x:c r="I49" s="31" t="n">
        <x:f>FIELD_MOCK!D49</x:f>
        <x:v>6</x:v>
      </x:c>
      <x:c r="J49" s="31" t="n">
        <x:f>H49-I49</x:f>
        <x:v>0</x:v>
      </x:c>
      <x:c r="K49" s="21" t="str">
        <x:v>FIELD</x:v>
      </x:c>
      <x:c r="L49" s="21" t="str">
        <x:v>Correct copied values from main IN; then route existing cars</x:v>
      </x:c>
      <x:c r="M49" s="21" t="str">
        <x:v>CURRENT schedule duplicates mainParkingInSchedule, wrong vs counts</x:v>
      </x:c>
    </x:row>
    <x:row r="50" ht="28" customHeight="1">
      <x:c r="A50" s="24" t="str">
        <x:v>ParkingSecondIN</x:v>
      </x:c>
      <x:c r="B50" s="24" t="str">
        <x:v>secondaryParkingInSchedule</x:v>
      </x:c>
      <x:c r="C50" s="24" t="str">
        <x:v>07:15–07:30</x:v>
      </x:c>
      <x:c r="D50" s="24" t="n">
        <x:v>15</x:v>
      </x:c>
      <x:c r="E50" s="39" t="n">
        <x:v>1.267</x:v>
      </x:c>
      <x:c r="F50" s="39" t="str">
        <x:v>PER_MINUTE</x:v>
      </x:c>
      <x:c r="G50" s="30" t="n">
        <x:f>FIELD_MOCK!D50/D50</x:f>
        <x:v>1</x:v>
      </x:c>
      <x:c r="H50" s="31" t="n">
        <x:f>G50*D50</x:f>
        <x:v>15</x:v>
      </x:c>
      <x:c r="I50" s="31" t="n">
        <x:f>FIELD_MOCK!D50</x:f>
        <x:v>15</x:v>
      </x:c>
      <x:c r="J50" s="31" t="n">
        <x:f>H50-I50</x:f>
        <x:v>0</x:v>
      </x:c>
      <x:c r="K50" s="24" t="str">
        <x:v>FIELD</x:v>
      </x:c>
      <x:c r="L50" s="24" t="str">
        <x:v>Correct copied values from main IN; then route existing cars</x:v>
      </x:c>
      <x:c r="M50" s="24" t="str">
        <x:v>CURRENT schedule duplicates mainParkingInSchedule, wrong vs counts</x:v>
      </x:c>
    </x:row>
    <x:row r="51" ht="28" customHeight="1">
      <x:c r="A51" s="21" t="str">
        <x:v>ParkingSecondIN</x:v>
      </x:c>
      <x:c r="B51" s="21" t="str">
        <x:v>secondaryParkingInSchedule</x:v>
      </x:c>
      <x:c r="C51" s="21" t="str">
        <x:v>07:30–07:45</x:v>
      </x:c>
      <x:c r="D51" s="21" t="n">
        <x:v>15</x:v>
      </x:c>
      <x:c r="E51" s="38" t="n">
        <x:v>1.667</x:v>
      </x:c>
      <x:c r="F51" s="38" t="str">
        <x:v>PER_MINUTE</x:v>
      </x:c>
      <x:c r="G51" s="30" t="n">
        <x:f>FIELD_MOCK!D51/D51</x:f>
        <x:v>0.8</x:v>
      </x:c>
      <x:c r="H51" s="31" t="n">
        <x:f>G51*D51</x:f>
        <x:v>12</x:v>
      </x:c>
      <x:c r="I51" s="31" t="n">
        <x:f>FIELD_MOCK!D51</x:f>
        <x:v>12</x:v>
      </x:c>
      <x:c r="J51" s="31" t="n">
        <x:f>H51-I51</x:f>
        <x:v>0</x:v>
      </x:c>
      <x:c r="K51" s="21" t="str">
        <x:v>FIELD</x:v>
      </x:c>
      <x:c r="L51" s="21" t="str">
        <x:v>Correct copied values from main IN; then route existing cars</x:v>
      </x:c>
      <x:c r="M51" s="21" t="str">
        <x:v>CURRENT schedule duplicates mainParkingInSchedule, wrong vs counts</x:v>
      </x:c>
    </x:row>
    <x:row r="52" ht="28" customHeight="1">
      <x:c r="A52" s="24" t="str">
        <x:v>ParkingSecondIN</x:v>
      </x:c>
      <x:c r="B52" s="24" t="str">
        <x:v>secondaryParkingInSchedule</x:v>
      </x:c>
      <x:c r="C52" s="24" t="str">
        <x:v>07:45–08:00</x:v>
      </x:c>
      <x:c r="D52" s="24" t="n">
        <x:v>15</x:v>
      </x:c>
      <x:c r="E52" s="39" t="n">
        <x:v>0.867</x:v>
      </x:c>
      <x:c r="F52" s="39" t="str">
        <x:v>PER_MINUTE</x:v>
      </x:c>
      <x:c r="G52" s="30" t="n">
        <x:f>FIELD_MOCK!D52/D52</x:f>
        <x:v>0.3333333333333333</x:v>
      </x:c>
      <x:c r="H52" s="31" t="n">
        <x:f>G52*D52</x:f>
        <x:v>5</x:v>
      </x:c>
      <x:c r="I52" s="31" t="n">
        <x:f>FIELD_MOCK!D52</x:f>
        <x:v>5</x:v>
      </x:c>
      <x:c r="J52" s="31" t="n">
        <x:f>H52-I52</x:f>
        <x:v>0</x:v>
      </x:c>
      <x:c r="K52" s="24" t="str">
        <x:v>FIELD</x:v>
      </x:c>
      <x:c r="L52" s="24" t="str">
        <x:v>Correct copied values from main IN; then route existing cars</x:v>
      </x:c>
      <x:c r="M52" s="24" t="str">
        <x:v>CURRENT schedule duplicates mainParkingInSchedule, wrong vs counts</x:v>
      </x:c>
    </x:row>
    <x:row r="53" ht="28" customHeight="1">
      <x:c r="A53" s="21" t="str">
        <x:v>ParkingSecondIN</x:v>
      </x:c>
      <x:c r="B53" s="21" t="str">
        <x:v>secondaryParkingInSchedule</x:v>
      </x:c>
      <x:c r="C53" s="21" t="str">
        <x:v>08:00–08:10</x:v>
      </x:c>
      <x:c r="D53" s="21" t="n">
        <x:v>10</x:v>
      </x:c>
      <x:c r="E53" s="38" t="n">
        <x:v>0</x:v>
      </x:c>
      <x:c r="F53" s="38" t="str">
        <x:v>PER_MINUTE</x:v>
      </x:c>
      <x:c r="G53" s="30" t="n">
        <x:f>FIELD_MOCK!D53/D53</x:f>
        <x:v>0.2</x:v>
      </x:c>
      <x:c r="H53" s="31" t="n">
        <x:f>G53*D53</x:f>
        <x:v>2</x:v>
      </x:c>
      <x:c r="I53" s="31" t="n">
        <x:f>FIELD_MOCK!D53</x:f>
        <x:v>2</x:v>
      </x:c>
      <x:c r="J53" s="31" t="n">
        <x:f>H53-I53</x:f>
        <x:v>0</x:v>
      </x:c>
      <x:c r="K53" s="21" t="str">
        <x:v>FIELD</x:v>
      </x:c>
      <x:c r="L53" s="21" t="str">
        <x:v>Correct copied values from main IN; then route existing cars</x:v>
      </x:c>
      <x:c r="M53" s="21" t="str">
        <x:v>CURRENT schedule duplicates mainParkingInSchedule, wrong vs counts</x:v>
      </x:c>
    </x:row>
    <x:row r="54" ht="28" customHeight="1">
      <x:c r="A54" s="24" t="str">
        <x:v>ParkingSecondOUT</x:v>
      </x:c>
      <x:c r="B54" s="24" t="str">
        <x:v>secondaryParkingOutSchedule</x:v>
      </x:c>
      <x:c r="C54" s="24" t="str">
        <x:v>06:30–06:45</x:v>
      </x:c>
      <x:c r="D54" s="24" t="n">
        <x:v>15</x:v>
      </x:c>
      <x:c r="E54" s="39" t="n">
        <x:v>0.067</x:v>
      </x:c>
      <x:c r="F54" s="39" t="str">
        <x:v>PER_MINUTE</x:v>
      </x:c>
      <x:c r="G54" s="30" t="n">
        <x:f>FIELD_MOCK!D54/D54</x:f>
        <x:v>0.06666666666666667</x:v>
      </x:c>
      <x:c r="H54" s="31" t="n">
        <x:f>G54*D54</x:f>
        <x:v>1</x:v>
      </x:c>
      <x:c r="I54" s="31" t="n">
        <x:f>FIELD_MOCK!D54</x:f>
        <x:v>1</x:v>
      </x:c>
      <x:c r="J54" s="31" t="n">
        <x:f>H54-I54</x:f>
        <x:v>0</x:v>
      </x:c>
      <x:c r="K54" s="24" t="str">
        <x:v>FIELD</x:v>
      </x:c>
      <x:c r="L54" s="24" t="str">
        <x:v>carSource1 arrivalType=RATE_SCHEDULE</x:v>
      </x:c>
      <x:c r="M54" s="24" t="str">
        <x:v>OUT car source linked</x:v>
      </x:c>
    </x:row>
    <x:row r="55" ht="28" customHeight="1">
      <x:c r="A55" s="21" t="str">
        <x:v>ParkingSecondOUT</x:v>
      </x:c>
      <x:c r="B55" s="21" t="str">
        <x:v>secondaryParkingOutSchedule</x:v>
      </x:c>
      <x:c r="C55" s="21" t="str">
        <x:v>06:45–07:00</x:v>
      </x:c>
      <x:c r="D55" s="21" t="n">
        <x:v>15</x:v>
      </x:c>
      <x:c r="E55" s="38" t="n">
        <x:v>0</x:v>
      </x:c>
      <x:c r="F55" s="38" t="str">
        <x:v>PER_MINUTE</x:v>
      </x:c>
      <x:c r="G55" s="30" t="n">
        <x:f>FIELD_MOCK!D55/D55</x:f>
        <x:v>0</x:v>
      </x:c>
      <x:c r="H55" s="31" t="n">
        <x:f>G55*D55</x:f>
        <x:v>0</x:v>
      </x:c>
      <x:c r="I55" s="31" t="n">
        <x:f>FIELD_MOCK!D55</x:f>
        <x:v>0</x:v>
      </x:c>
      <x:c r="J55" s="31" t="n">
        <x:f>H55-I55</x:f>
        <x:v>0</x:v>
      </x:c>
      <x:c r="K55" s="21" t="str">
        <x:v>FIELD</x:v>
      </x:c>
      <x:c r="L55" s="21" t="str">
        <x:v>carSource1 arrivalType=RATE_SCHEDULE</x:v>
      </x:c>
      <x:c r="M55" s="21" t="str">
        <x:v>OUT car source linked</x:v>
      </x:c>
    </x:row>
    <x:row r="56" ht="28" customHeight="1">
      <x:c r="A56" s="24" t="str">
        <x:v>ParkingSecondOUT</x:v>
      </x:c>
      <x:c r="B56" s="24" t="str">
        <x:v>secondaryParkingOutSchedule</x:v>
      </x:c>
      <x:c r="C56" s="24" t="str">
        <x:v>07:00–07:15</x:v>
      </x:c>
      <x:c r="D56" s="24" t="n">
        <x:v>15</x:v>
      </x:c>
      <x:c r="E56" s="39" t="n">
        <x:v>0</x:v>
      </x:c>
      <x:c r="F56" s="39" t="str">
        <x:v>PER_MINUTE</x:v>
      </x:c>
      <x:c r="G56" s="30" t="n">
        <x:f>FIELD_MOCK!D56/D56</x:f>
        <x:v>0</x:v>
      </x:c>
      <x:c r="H56" s="31" t="n">
        <x:f>G56*D56</x:f>
        <x:v>0</x:v>
      </x:c>
      <x:c r="I56" s="31" t="n">
        <x:f>FIELD_MOCK!D56</x:f>
        <x:v>0</x:v>
      </x:c>
      <x:c r="J56" s="31" t="n">
        <x:f>H56-I56</x:f>
        <x:v>0</x:v>
      </x:c>
      <x:c r="K56" s="24" t="str">
        <x:v>FIELD</x:v>
      </x:c>
      <x:c r="L56" s="24" t="str">
        <x:v>carSource1 arrivalType=RATE_SCHEDULE</x:v>
      </x:c>
      <x:c r="M56" s="24" t="str">
        <x:v>OUT car source linked</x:v>
      </x:c>
    </x:row>
    <x:row r="57" ht="28" customHeight="1">
      <x:c r="A57" s="21" t="str">
        <x:v>ParkingSecondOUT</x:v>
      </x:c>
      <x:c r="B57" s="21" t="str">
        <x:v>secondaryParkingOutSchedule</x:v>
      </x:c>
      <x:c r="C57" s="21" t="str">
        <x:v>07:15–07:30</x:v>
      </x:c>
      <x:c r="D57" s="21" t="n">
        <x:v>15</x:v>
      </x:c>
      <x:c r="E57" s="38" t="n">
        <x:v>0.533</x:v>
      </x:c>
      <x:c r="F57" s="38" t="str">
        <x:v>PER_MINUTE</x:v>
      </x:c>
      <x:c r="G57" s="30" t="n">
        <x:f>FIELD_MOCK!D57/D57</x:f>
        <x:v>0.5333333333333333</x:v>
      </x:c>
      <x:c r="H57" s="31" t="n">
        <x:f>G57*D57</x:f>
        <x:v>8</x:v>
      </x:c>
      <x:c r="I57" s="31" t="n">
        <x:f>FIELD_MOCK!D57</x:f>
        <x:v>8</x:v>
      </x:c>
      <x:c r="J57" s="31" t="n">
        <x:f>H57-I57</x:f>
        <x:v>0</x:v>
      </x:c>
      <x:c r="K57" s="21" t="str">
        <x:v>FIELD</x:v>
      </x:c>
      <x:c r="L57" s="21" t="str">
        <x:v>carSource1 arrivalType=RATE_SCHEDULE</x:v>
      </x:c>
      <x:c r="M57" s="21" t="str">
        <x:v>OUT car source linked</x:v>
      </x:c>
    </x:row>
    <x:row r="58" ht="28" customHeight="1">
      <x:c r="A58" s="24" t="str">
        <x:v>ParkingSecondOUT</x:v>
      </x:c>
      <x:c r="B58" s="24" t="str">
        <x:v>secondaryParkingOutSchedule</x:v>
      </x:c>
      <x:c r="C58" s="24" t="str">
        <x:v>07:30–07:45</x:v>
      </x:c>
      <x:c r="D58" s="24" t="n">
        <x:v>15</x:v>
      </x:c>
      <x:c r="E58" s="39" t="n">
        <x:v>0.533</x:v>
      </x:c>
      <x:c r="F58" s="39" t="str">
        <x:v>PER_MINUTE</x:v>
      </x:c>
      <x:c r="G58" s="30" t="n">
        <x:f>FIELD_MOCK!D58/D58</x:f>
        <x:v>0.5333333333333333</x:v>
      </x:c>
      <x:c r="H58" s="31" t="n">
        <x:f>G58*D58</x:f>
        <x:v>8</x:v>
      </x:c>
      <x:c r="I58" s="31" t="n">
        <x:f>FIELD_MOCK!D58</x:f>
        <x:v>8</x:v>
      </x:c>
      <x:c r="J58" s="31" t="n">
        <x:f>H58-I58</x:f>
        <x:v>0</x:v>
      </x:c>
      <x:c r="K58" s="24" t="str">
        <x:v>FIELD</x:v>
      </x:c>
      <x:c r="L58" s="24" t="str">
        <x:v>carSource1 arrivalType=RATE_SCHEDULE</x:v>
      </x:c>
      <x:c r="M58" s="24" t="str">
        <x:v>OUT car source linked</x:v>
      </x:c>
    </x:row>
    <x:row r="59" ht="28" customHeight="1">
      <x:c r="A59" s="21" t="str">
        <x:v>ParkingSecondOUT</x:v>
      </x:c>
      <x:c r="B59" s="21" t="str">
        <x:v>secondaryParkingOutSchedule</x:v>
      </x:c>
      <x:c r="C59" s="21" t="str">
        <x:v>07:45–08:00</x:v>
      </x:c>
      <x:c r="D59" s="21" t="n">
        <x:v>15</x:v>
      </x:c>
      <x:c r="E59" s="38" t="n">
        <x:v>0.4</x:v>
      </x:c>
      <x:c r="F59" s="38" t="str">
        <x:v>PER_MINUTE</x:v>
      </x:c>
      <x:c r="G59" s="30" t="n">
        <x:f>FIELD_MOCK!D59/D59</x:f>
        <x:v>0.4</x:v>
      </x:c>
      <x:c r="H59" s="31" t="n">
        <x:f>G59*D59</x:f>
        <x:v>6</x:v>
      </x:c>
      <x:c r="I59" s="31" t="n">
        <x:f>FIELD_MOCK!D59</x:f>
        <x:v>6</x:v>
      </x:c>
      <x:c r="J59" s="31" t="n">
        <x:f>H59-I59</x:f>
        <x:v>0</x:v>
      </x:c>
      <x:c r="K59" s="21" t="str">
        <x:v>FIELD</x:v>
      </x:c>
      <x:c r="L59" s="21" t="str">
        <x:v>carSource1 arrivalType=RATE_SCHEDULE</x:v>
      </x:c>
      <x:c r="M59" s="21" t="str">
        <x:v>OUT car source linked</x:v>
      </x:c>
    </x:row>
    <x:row r="60" ht="28" customHeight="1">
      <x:c r="A60" s="24" t="str">
        <x:v>ParkingSecondOUT</x:v>
      </x:c>
      <x:c r="B60" s="24" t="str">
        <x:v>secondaryParkingOutSchedule</x:v>
      </x:c>
      <x:c r="C60" s="24" t="str">
        <x:v>08:00–08:10</x:v>
      </x:c>
      <x:c r="D60" s="24" t="n">
        <x:v>10</x:v>
      </x:c>
      <x:c r="E60" s="39" t="n">
        <x:v>0.4</x:v>
      </x:c>
      <x:c r="F60" s="39" t="str">
        <x:v>PER_MINUTE</x:v>
      </x:c>
      <x:c r="G60" s="30" t="n">
        <x:f>FIELD_MOCK!D60/D60</x:f>
        <x:v>0.4</x:v>
      </x:c>
      <x:c r="H60" s="31" t="n">
        <x:f>G60*D60</x:f>
        <x:v>4</x:v>
      </x:c>
      <x:c r="I60" s="31" t="n">
        <x:f>FIELD_MOCK!D60</x:f>
        <x:v>4</x:v>
      </x:c>
      <x:c r="J60" s="31" t="n">
        <x:f>H60-I60</x:f>
        <x:v>0</x:v>
      </x:c>
      <x:c r="K60" s="24" t="str">
        <x:v>FIELD</x:v>
      </x:c>
      <x:c r="L60" s="24" t="str">
        <x:v>carSource1 arrivalType=RATE_SCHEDULE</x:v>
      </x:c>
      <x:c r="M60" s="24" t="str">
        <x:v>OUT car source linked</x:v>
      </x:c>
    </x:row>
    <x:row r="61" ht="28" customHeight="1">
      <x:c r="A61" s="21" t="str">
        <x:v>MainPed</x:v>
      </x:c>
      <x:c r="B61" s="21" t="str">
        <x:v>pedRateSchedule</x:v>
      </x:c>
      <x:c r="C61" s="21" t="str">
        <x:v>06:30–06:45</x:v>
      </x:c>
      <x:c r="D61" s="21" t="n">
        <x:v>15</x:v>
      </x:c>
      <x:c r="E61" s="38" t="n">
        <x:v>2.0667</x:v>
      </x:c>
      <x:c r="F61" s="38" t="str">
        <x:v>PER_MINUTE</x:v>
      </x:c>
      <x:c r="G61" s="30" t="n">
        <x:f>FIELD_MOCK!D5/D61</x:f>
        <x:v>2.066666666666667</x:v>
      </x:c>
      <x:c r="H61" s="31" t="n">
        <x:f>G61*D61</x:f>
        <x:v>31.000000000000004</x:v>
      </x:c>
      <x:c r="I61" s="31" t="n">
        <x:f>FIELD_MOCK!D5</x:f>
        <x:v>31</x:v>
      </x:c>
      <x:c r="J61" s="31" t="n">
        <x:f>H61-I61</x:f>
        <x:v>3.552713678800501e-15</x:v>
      </x:c>
      <x:c r="K61" s="21" t="str">
        <x:v>FIELD</x:v>
      </x:c>
      <x:c r="L61" s="21" t="str">
        <x:v>pedEntrance1Source rateSchedule = pedRateSchedule</x:v>
      </x:c>
      <x:c r="M61" s="21" t="str">
        <x:v>Main pedestrian source</x:v>
      </x:c>
    </x:row>
    <x:row r="62" ht="28" customHeight="1">
      <x:c r="A62" s="24" t="str">
        <x:v>MainPed</x:v>
      </x:c>
      <x:c r="B62" s="24" t="str">
        <x:v>pedRateSchedule</x:v>
      </x:c>
      <x:c r="C62" s="24" t="str">
        <x:v>06:45–07:00</x:v>
      </x:c>
      <x:c r="D62" s="24" t="n">
        <x:v>15</x:v>
      </x:c>
      <x:c r="E62" s="39" t="n">
        <x:v>5.4667</x:v>
      </x:c>
      <x:c r="F62" s="39" t="str">
        <x:v>PER_MINUTE</x:v>
      </x:c>
      <x:c r="G62" s="30" t="n">
        <x:f>FIELD_MOCK!D6/D62</x:f>
        <x:v>5.466666666666667</x:v>
      </x:c>
      <x:c r="H62" s="31" t="n">
        <x:f>G62*D62</x:f>
        <x:v>82</x:v>
      </x:c>
      <x:c r="I62" s="31" t="n">
        <x:f>FIELD_MOCK!D6</x:f>
        <x:v>82</x:v>
      </x:c>
      <x:c r="J62" s="31" t="n">
        <x:f>H62-I62</x:f>
        <x:v>0</x:v>
      </x:c>
      <x:c r="K62" s="24" t="str">
        <x:v>FIELD</x:v>
      </x:c>
      <x:c r="L62" s="24" t="str">
        <x:v>pedEntrance1Source rateSchedule = pedRateSchedule</x:v>
      </x:c>
      <x:c r="M62" s="24" t="str">
        <x:v>Main pedestrian source</x:v>
      </x:c>
    </x:row>
    <x:row r="63" ht="28" customHeight="1">
      <x:c r="A63" s="21" t="str">
        <x:v>MainPed</x:v>
      </x:c>
      <x:c r="B63" s="21" t="str">
        <x:v>pedRateSchedule</x:v>
      </x:c>
      <x:c r="C63" s="21" t="str">
        <x:v>07:00–07:15</x:v>
      </x:c>
      <x:c r="D63" s="21" t="n">
        <x:v>15</x:v>
      </x:c>
      <x:c r="E63" s="38" t="n">
        <x:v>8.6</x:v>
      </x:c>
      <x:c r="F63" s="38" t="str">
        <x:v>PER_MINUTE</x:v>
      </x:c>
      <x:c r="G63" s="30" t="n">
        <x:f>FIELD_MOCK!D7/D63</x:f>
        <x:v>8.6</x:v>
      </x:c>
      <x:c r="H63" s="31" t="n">
        <x:f>G63*D63</x:f>
        <x:v>129</x:v>
      </x:c>
      <x:c r="I63" s="31" t="n">
        <x:f>FIELD_MOCK!D7</x:f>
        <x:v>129</x:v>
      </x:c>
      <x:c r="J63" s="31" t="n">
        <x:f>H63-I63</x:f>
        <x:v>0</x:v>
      </x:c>
      <x:c r="K63" s="21" t="str">
        <x:v>FIELD</x:v>
      </x:c>
      <x:c r="L63" s="21" t="str">
        <x:v>pedEntrance1Source rateSchedule = pedRateSchedule</x:v>
      </x:c>
      <x:c r="M63" s="21" t="str">
        <x:v>Main pedestrian source</x:v>
      </x:c>
    </x:row>
    <x:row r="64" ht="28" customHeight="1">
      <x:c r="A64" s="24" t="str">
        <x:v>MainPed</x:v>
      </x:c>
      <x:c r="B64" s="24" t="str">
        <x:v>pedRateSchedule</x:v>
      </x:c>
      <x:c r="C64" s="24" t="str">
        <x:v>07:15–07:30</x:v>
      </x:c>
      <x:c r="D64" s="24" t="n">
        <x:v>15</x:v>
      </x:c>
      <x:c r="E64" s="39" t="n">
        <x:v>12.2</x:v>
      </x:c>
      <x:c r="F64" s="39" t="str">
        <x:v>PER_MINUTE</x:v>
      </x:c>
      <x:c r="G64" s="30" t="n">
        <x:f>FIELD_MOCK!D8/D64</x:f>
        <x:v>12.2</x:v>
      </x:c>
      <x:c r="H64" s="31" t="n">
        <x:f>G64*D64</x:f>
        <x:v>183</x:v>
      </x:c>
      <x:c r="I64" s="31" t="n">
        <x:f>FIELD_MOCK!D8</x:f>
        <x:v>183</x:v>
      </x:c>
      <x:c r="J64" s="31" t="n">
        <x:f>H64-I64</x:f>
        <x:v>0</x:v>
      </x:c>
      <x:c r="K64" s="24" t="str">
        <x:v>FIELD</x:v>
      </x:c>
      <x:c r="L64" s="24" t="str">
        <x:v>pedEntrance1Source rateSchedule = pedRateSchedule</x:v>
      </x:c>
      <x:c r="M64" s="24" t="str">
        <x:v>Main pedestrian source</x:v>
      </x:c>
    </x:row>
    <x:row r="65" ht="28" customHeight="1">
      <x:c r="A65" s="21" t="str">
        <x:v>MainPed</x:v>
      </x:c>
      <x:c r="B65" s="21" t="str">
        <x:v>pedRateSchedule</x:v>
      </x:c>
      <x:c r="C65" s="21" t="str">
        <x:v>07:30–07:45</x:v>
      </x:c>
      <x:c r="D65" s="21" t="n">
        <x:v>15</x:v>
      </x:c>
      <x:c r="E65" s="38" t="n">
        <x:v>13.2</x:v>
      </x:c>
      <x:c r="F65" s="38" t="str">
        <x:v>PER_MINUTE</x:v>
      </x:c>
      <x:c r="G65" s="30" t="n">
        <x:f>FIELD_MOCK!D9/D65</x:f>
        <x:v>13.2</x:v>
      </x:c>
      <x:c r="H65" s="31" t="n">
        <x:f>G65*D65</x:f>
        <x:v>198</x:v>
      </x:c>
      <x:c r="I65" s="31" t="n">
        <x:f>FIELD_MOCK!D9</x:f>
        <x:v>198</x:v>
      </x:c>
      <x:c r="J65" s="31" t="n">
        <x:f>H65-I65</x:f>
        <x:v>0</x:v>
      </x:c>
      <x:c r="K65" s="21" t="str">
        <x:v>FIELD</x:v>
      </x:c>
      <x:c r="L65" s="21" t="str">
        <x:v>pedEntrance1Source rateSchedule = pedRateSchedule</x:v>
      </x:c>
      <x:c r="M65" s="21" t="str">
        <x:v>Main pedestrian source</x:v>
      </x:c>
    </x:row>
    <x:row r="66" ht="28" customHeight="1">
      <x:c r="A66" s="24" t="str">
        <x:v>MainPed</x:v>
      </x:c>
      <x:c r="B66" s="24" t="str">
        <x:v>pedRateSchedule</x:v>
      </x:c>
      <x:c r="C66" s="24" t="str">
        <x:v>07:45–08:00</x:v>
      </x:c>
      <x:c r="D66" s="24" t="n">
        <x:v>15</x:v>
      </x:c>
      <x:c r="E66" s="39" t="n">
        <x:v>16.7333</x:v>
      </x:c>
      <x:c r="F66" s="39" t="str">
        <x:v>PER_MINUTE</x:v>
      </x:c>
      <x:c r="G66" s="30" t="n">
        <x:f>FIELD_MOCK!D10/D66</x:f>
        <x:v>16.733333333333334</x:v>
      </x:c>
      <x:c r="H66" s="31" t="n">
        <x:f>G66*D66</x:f>
        <x:v>251</x:v>
      </x:c>
      <x:c r="I66" s="31" t="n">
        <x:f>FIELD_MOCK!D10</x:f>
        <x:v>251</x:v>
      </x:c>
      <x:c r="J66" s="31" t="n">
        <x:f>H66-I66</x:f>
        <x:v>0</x:v>
      </x:c>
      <x:c r="K66" s="24" t="str">
        <x:v>FIELD</x:v>
      </x:c>
      <x:c r="L66" s="24" t="str">
        <x:v>pedEntrance1Source rateSchedule = pedRateSchedule</x:v>
      </x:c>
      <x:c r="M66" s="24" t="str">
        <x:v>Main pedestrian source</x:v>
      </x:c>
    </x:row>
    <x:row r="67" ht="28" customHeight="1">
      <x:c r="A67" s="21" t="str">
        <x:v>MainPed</x:v>
      </x:c>
      <x:c r="B67" s="21" t="str">
        <x:v>pedRateSchedule</x:v>
      </x:c>
      <x:c r="C67" s="21" t="str">
        <x:v>08:00–08:10</x:v>
      </x:c>
      <x:c r="D67" s="21" t="n">
        <x:v>10</x:v>
      </x:c>
      <x:c r="E67" s="38" t="n">
        <x:v>1.5</x:v>
      </x:c>
      <x:c r="F67" s="38" t="str">
        <x:v>PER_MINUTE</x:v>
      </x:c>
      <x:c r="G67" s="30" t="n">
        <x:f>FIELD_MOCK!D11/D67</x:f>
        <x:v>1.5</x:v>
      </x:c>
      <x:c r="H67" s="31" t="n">
        <x:f>G67*D67</x:f>
        <x:v>15</x:v>
      </x:c>
      <x:c r="I67" s="31" t="n">
        <x:f>FIELD_MOCK!D11</x:f>
        <x:v>15</x:v>
      </x:c>
      <x:c r="J67" s="31" t="n">
        <x:f>H67-I67</x:f>
        <x:v>0</x:v>
      </x:c>
      <x:c r="K67" s="21" t="str">
        <x:v>FIELD</x:v>
      </x:c>
      <x:c r="L67" s="21" t="str">
        <x:v>pedEntrance1Source rateSchedule = pedRateSchedule</x:v>
      </x:c>
      <x:c r="M67" s="21" t="str">
        <x:v>Main pedestrian source</x:v>
      </x:c>
    </x:row>
    <x:row r="68" ht="28" customHeight="1">
      <x:c r="A68" s="24" t="str">
        <x:v>SecondPed</x:v>
      </x:c>
      <x:c r="B68" s="24" t="str">
        <x:v>secondPedRateSchedule</x:v>
      </x:c>
      <x:c r="C68" s="24" t="str">
        <x:v>06:30–06:45</x:v>
      </x:c>
      <x:c r="D68" s="24" t="n">
        <x:v>15</x:v>
      </x:c>
      <x:c r="E68" s="39"/>
      <x:c r="F68" s="39" t="str">
        <x:v>(not created)</x:v>
      </x:c>
      <x:c r="G68" s="30" t="n">
        <x:f>FIELD_MOCK!D12/D68</x:f>
        <x:v>0.5333333333333333</x:v>
      </x:c>
      <x:c r="H68" s="31" t="n">
        <x:f>G68*D68</x:f>
        <x:v>8</x:v>
      </x:c>
      <x:c r="I68" s="31" t="n">
        <x:f>FIELD_MOCK!D12</x:f>
        <x:v>8</x:v>
      </x:c>
      <x:c r="J68" s="31" t="n">
        <x:f>H68-I68</x:f>
        <x:v>0</x:v>
      </x:c>
      <x:c r="K68" s="24" t="str">
        <x:v>MOCK</x:v>
      </x:c>
      <x:c r="L68" s="24" t="str">
        <x:v>Create new schedule secondPedRateSchedule and link pedEntrance2Source</x:v>
      </x:c>
      <x:c r="M68" s="24" t="str">
        <x:v>NOT EXISTING in .alp: second PedSource currently uses main pedRateSchedule</x:v>
      </x:c>
    </x:row>
    <x:row r="69" ht="28" customHeight="1">
      <x:c r="A69" s="21" t="str">
        <x:v>SecondPed</x:v>
      </x:c>
      <x:c r="B69" s="21" t="str">
        <x:v>secondPedRateSchedule</x:v>
      </x:c>
      <x:c r="C69" s="21" t="str">
        <x:v>06:45–07:00</x:v>
      </x:c>
      <x:c r="D69" s="21" t="n">
        <x:v>15</x:v>
      </x:c>
      <x:c r="E69" s="38"/>
      <x:c r="F69" s="38" t="str">
        <x:v>(not created)</x:v>
      </x:c>
      <x:c r="G69" s="30" t="n">
        <x:f>FIELD_MOCK!D13/D69</x:f>
        <x:v>1.3333333333333333</x:v>
      </x:c>
      <x:c r="H69" s="31" t="n">
        <x:f>G69*D69</x:f>
        <x:v>20</x:v>
      </x:c>
      <x:c r="I69" s="31" t="n">
        <x:f>FIELD_MOCK!D13</x:f>
        <x:v>20</x:v>
      </x:c>
      <x:c r="J69" s="31" t="n">
        <x:f>H69-I69</x:f>
        <x:v>0</x:v>
      </x:c>
      <x:c r="K69" s="21" t="str">
        <x:v>MOCK</x:v>
      </x:c>
      <x:c r="L69" s="21" t="str">
        <x:v>Create new schedule secondPedRateSchedule and link pedEntrance2Source</x:v>
      </x:c>
      <x:c r="M69" s="21" t="str">
        <x:v>NOT EXISTING in .alp: second PedSource currently uses main pedRateSchedule</x:v>
      </x:c>
    </x:row>
    <x:row r="70" ht="28" customHeight="1">
      <x:c r="A70" s="24" t="str">
        <x:v>SecondPed</x:v>
      </x:c>
      <x:c r="B70" s="24" t="str">
        <x:v>secondPedRateSchedule</x:v>
      </x:c>
      <x:c r="C70" s="24" t="str">
        <x:v>07:00–07:15</x:v>
      </x:c>
      <x:c r="D70" s="24" t="n">
        <x:v>15</x:v>
      </x:c>
      <x:c r="E70" s="39"/>
      <x:c r="F70" s="39" t="str">
        <x:v>(not created)</x:v>
      </x:c>
      <x:c r="G70" s="30" t="n">
        <x:f>FIELD_MOCK!D14/D70</x:f>
        <x:v>2.1333333333333333</x:v>
      </x:c>
      <x:c r="H70" s="31" t="n">
        <x:f>G70*D70</x:f>
        <x:v>32</x:v>
      </x:c>
      <x:c r="I70" s="31" t="n">
        <x:f>FIELD_MOCK!D14</x:f>
        <x:v>32</x:v>
      </x:c>
      <x:c r="J70" s="31" t="n">
        <x:f>H70-I70</x:f>
        <x:v>0</x:v>
      </x:c>
      <x:c r="K70" s="24" t="str">
        <x:v>MOCK</x:v>
      </x:c>
      <x:c r="L70" s="24" t="str">
        <x:v>Create new schedule secondPedRateSchedule and link pedEntrance2Source</x:v>
      </x:c>
      <x:c r="M70" s="24" t="str">
        <x:v>NOT EXISTING in .alp: second PedSource currently uses main pedRateSchedule</x:v>
      </x:c>
    </x:row>
    <x:row r="71" ht="28" customHeight="1">
      <x:c r="A71" s="21" t="str">
        <x:v>SecondPed</x:v>
      </x:c>
      <x:c r="B71" s="21" t="str">
        <x:v>secondPedRateSchedule</x:v>
      </x:c>
      <x:c r="C71" s="21" t="str">
        <x:v>07:15–07:30</x:v>
      </x:c>
      <x:c r="D71" s="21" t="n">
        <x:v>15</x:v>
      </x:c>
      <x:c r="E71" s="38"/>
      <x:c r="F71" s="38" t="str">
        <x:v>(not created)</x:v>
      </x:c>
      <x:c r="G71" s="30" t="n">
        <x:f>FIELD_MOCK!D15/D71</x:f>
        <x:v>3.066666666666667</x:v>
      </x:c>
      <x:c r="H71" s="31" t="n">
        <x:f>G71*D71</x:f>
        <x:v>46</x:v>
      </x:c>
      <x:c r="I71" s="31" t="n">
        <x:f>FIELD_MOCK!D15</x:f>
        <x:v>46</x:v>
      </x:c>
      <x:c r="J71" s="31" t="n">
        <x:f>H71-I71</x:f>
        <x:v>0</x:v>
      </x:c>
      <x:c r="K71" s="21" t="str">
        <x:v>MOCK</x:v>
      </x:c>
      <x:c r="L71" s="21" t="str">
        <x:v>Create new schedule secondPedRateSchedule and link pedEntrance2Source</x:v>
      </x:c>
      <x:c r="M71" s="21" t="str">
        <x:v>NOT EXISTING in .alp: second PedSource currently uses main pedRateSchedule</x:v>
      </x:c>
    </x:row>
    <x:row r="72" ht="28" customHeight="1">
      <x:c r="A72" s="24" t="str">
        <x:v>SecondPed</x:v>
      </x:c>
      <x:c r="B72" s="24" t="str">
        <x:v>secondPedRateSchedule</x:v>
      </x:c>
      <x:c r="C72" s="24" t="str">
        <x:v>07:30–07:45</x:v>
      </x:c>
      <x:c r="D72" s="24" t="n">
        <x:v>15</x:v>
      </x:c>
      <x:c r="E72" s="39"/>
      <x:c r="F72" s="39" t="str">
        <x:v>(not created)</x:v>
      </x:c>
      <x:c r="G72" s="30" t="n">
        <x:f>FIELD_MOCK!D16/D72</x:f>
        <x:v>3.2666666666666666</x:v>
      </x:c>
      <x:c r="H72" s="31" t="n">
        <x:f>G72*D72</x:f>
        <x:v>49</x:v>
      </x:c>
      <x:c r="I72" s="31" t="n">
        <x:f>FIELD_MOCK!D16</x:f>
        <x:v>49</x:v>
      </x:c>
      <x:c r="J72" s="31" t="n">
        <x:f>H72-I72</x:f>
        <x:v>0</x:v>
      </x:c>
      <x:c r="K72" s="24" t="str">
        <x:v>MOCK</x:v>
      </x:c>
      <x:c r="L72" s="24" t="str">
        <x:v>Create new schedule secondPedRateSchedule and link pedEntrance2Source</x:v>
      </x:c>
      <x:c r="M72" s="24" t="str">
        <x:v>NOT EXISTING in .alp: second PedSource currently uses main pedRateSchedule</x:v>
      </x:c>
    </x:row>
    <x:row r="73" ht="28" customHeight="1">
      <x:c r="A73" s="21" t="str">
        <x:v>SecondPed</x:v>
      </x:c>
      <x:c r="B73" s="21" t="str">
        <x:v>secondPedRateSchedule</x:v>
      </x:c>
      <x:c r="C73" s="21" t="str">
        <x:v>07:45–08:00</x:v>
      </x:c>
      <x:c r="D73" s="21" t="n">
        <x:v>15</x:v>
      </x:c>
      <x:c r="E73" s="38"/>
      <x:c r="F73" s="38" t="str">
        <x:v>(not created)</x:v>
      </x:c>
      <x:c r="G73" s="30" t="n">
        <x:f>FIELD_MOCK!D17/D73</x:f>
        <x:v>4.2</x:v>
      </x:c>
      <x:c r="H73" s="31" t="n">
        <x:f>G73*D73</x:f>
        <x:v>63</x:v>
      </x:c>
      <x:c r="I73" s="31" t="n">
        <x:f>FIELD_MOCK!D17</x:f>
        <x:v>63</x:v>
      </x:c>
      <x:c r="J73" s="31" t="n">
        <x:f>H73-I73</x:f>
        <x:v>0</x:v>
      </x:c>
      <x:c r="K73" s="21" t="str">
        <x:v>MOCK</x:v>
      </x:c>
      <x:c r="L73" s="21" t="str">
        <x:v>Create new schedule secondPedRateSchedule and link pedEntrance2Source</x:v>
      </x:c>
      <x:c r="M73" s="21" t="str">
        <x:v>NOT EXISTING in .alp: second PedSource currently uses main pedRateSchedule</x:v>
      </x:c>
    </x:row>
    <x:row r="74" ht="28" customHeight="1">
      <x:c r="A74" s="24" t="str">
        <x:v>SecondPed</x:v>
      </x:c>
      <x:c r="B74" s="24" t="str">
        <x:v>secondPedRateSchedule</x:v>
      </x:c>
      <x:c r="C74" s="24" t="str">
        <x:v>08:00–08:10</x:v>
      </x:c>
      <x:c r="D74" s="24" t="n">
        <x:v>10</x:v>
      </x:c>
      <x:c r="E74" s="39"/>
      <x:c r="F74" s="39" t="str">
        <x:v>(not created)</x:v>
      </x:c>
      <x:c r="G74" s="30" t="n">
        <x:f>FIELD_MOCK!D18/D74</x:f>
        <x:v>0.4</x:v>
      </x:c>
      <x:c r="H74" s="31" t="n">
        <x:f>G74*D74</x:f>
        <x:v>4</x:v>
      </x:c>
      <x:c r="I74" s="31" t="n">
        <x:f>FIELD_MOCK!D18</x:f>
        <x:v>4</x:v>
      </x:c>
      <x:c r="J74" s="31" t="n">
        <x:f>H74-I74</x:f>
        <x:v>0</x:v>
      </x:c>
      <x:c r="K74" s="24" t="str">
        <x:v>MOCK</x:v>
      </x:c>
      <x:c r="L74" s="24" t="str">
        <x:v>Create new schedule secondPedRateSchedule and link pedEntrance2Source</x:v>
      </x:c>
      <x:c r="M74" s="24" t="str">
        <x:v>NOT EXISTING in .alp: second PedSource currently uses main pedRateSchedule</x:v>
      </x:c>
    </x:row>
  </x:sheetData>
  <x:mergeCells>
    <x:mergeCell ref="A1:M2"/>
    <x:mergeCell ref="A3:M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5" hidden="0" customWidth="1"/>
    <x:col min="4" max="4" width="14" hidden="0" customWidth="1"/>
    <x:col min="5" max="5" width="26" hidden="0" customWidth="1"/>
    <x:col min="6" max="6" width="26" hidden="0" customWidth="1"/>
    <x:col min="7" max="7" width="27" hidden="0" customWidth="1"/>
    <x:col min="8" max="8" width="30" hidden="0" customWidth="1"/>
    <x:col min="9" max="9" width="19" hidden="0" customWidth="1"/>
    <x:col min="10" max="10" width="59" hidden="0" customWidth="1"/>
    <x:col min="11" max="11" width="45" hidden="0" customWidth="1"/>
  </x:cols>
  <x:sheetData>
    <x:row r="1" ht="22" customHeight="1">
      <x:c r="A1" s="4" t="str">
        <x:v>04  •  ALL SELECTOUTPUT BRANCHES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4" customHeight="1">
      <x:c r="A3" s="9" t="str">
        <x:v>GREEN Scenario EDIT cells are for what-if recording. Probabilities are fractions 0–1; TRUE/FALSE probabilities are complements. For SelectOutput5 conditional, edit Boolean expressions instead.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4" customHeight="1">
      <x:c r="A4" s="15" t="str">
        <x:v>Block</x:v>
      </x:c>
      <x:c r="B4" s="15" t="str">
        <x:v>Block class</x:v>
      </x:c>
      <x:c r="C4" s="15" t="str">
        <x:v>Selection type</x:v>
      </x:c>
      <x:c r="D4" s="15" t="str">
        <x:v>Output port</x:v>
      </x:c>
      <x:c r="E4" s="15" t="str">
        <x:v>Snapshot rule/value</x:v>
      </x:c>
      <x:c r="F4" s="15" t="str">
        <x:v>Scenario EDIT</x:v>
      </x:c>
      <x:c r="G4" s="15" t="str">
        <x:v>Connected block</x:v>
      </x:c>
      <x:c r="H4" s="15" t="str">
        <x:v>Meaning</x:v>
      </x:c>
      <x:c r="I4" s="15" t="str">
        <x:v>Provenance</x:v>
      </x:c>
      <x:c r="J4" s="15" t="str">
        <x:v>AnyLogic edit action</x:v>
      </x:c>
      <x:c r="K4" s="15" t="str">
        <x:v>Warning</x:v>
      </x:c>
    </x:row>
    <x:row r="5" ht="28" customHeight="1">
      <x:c r="A5" s="21" t="str">
        <x:v>selectOutput</x:v>
      </x:c>
      <x:c r="B5" s="21" t="str">
        <x:v>SelectOutput</x:v>
      </x:c>
      <x:c r="C5" s="21" t="str">
        <x:v>probability</x:v>
      </x:c>
      <x:c r="D5" s="21" t="str">
        <x:v>outT</x:v>
      </x:c>
      <x:c r="E5" s="21" t="n">
        <x:v>0.0459</x:v>
      </x:c>
      <x:c r="F5" s="26" t="n">
        <x:v>0.0459</x:v>
      </x:c>
      <x:c r="G5" s="21" t="str">
        <x:v>seize</x:v>
      </x:c>
      <x:c r="H5" s="21" t="str">
        <x:v>YES/TRUE</x:v>
      </x:c>
      <x:c r="I5" s="21" t="str">
        <x:v>MODEL CURRENT</x:v>
      </x:c>
      <x:c r="J5" s="21" t="str">
        <x:v>Edit this SelectOutput property; for 5-way sum weights=1</x:v>
      </x:c>
      <x:c r="K5" s="21" t="str"/>
    </x:row>
    <x:row r="6" ht="28" customHeight="1">
      <x:c r="A6" s="24" t="str">
        <x:v>selectOutput</x:v>
      </x:c>
      <x:c r="B6" s="24" t="str">
        <x:v>SelectOutput</x:v>
      </x:c>
      <x:c r="C6" s="24" t="str">
        <x:v>probability</x:v>
      </x:c>
      <x:c r="D6" s="24" t="str">
        <x:v>outF</x:v>
      </x:c>
      <x:c r="E6" s="24" t="n">
        <x:v>0.9541</x:v>
      </x:c>
      <x:c r="F6" s="26" t="n">
        <x:f>1-F5</x:f>
        <x:v>0.9541</x:v>
      </x:c>
      <x:c r="G6" s="24" t="str">
        <x:v>carMoveTo</x:v>
      </x:c>
      <x:c r="H6" s="24" t="str">
        <x:v>NO/FALSE</x:v>
      </x:c>
      <x:c r="I6" s="24" t="str">
        <x:v>MODEL CURRENT</x:v>
      </x:c>
      <x:c r="J6" s="24" t="str">
        <x:v>Edit this SelectOutput property; for 5-way sum weights=1</x:v>
      </x:c>
      <x:c r="K6" s="24" t="str"/>
    </x:row>
    <x:row r="7" ht="28" customHeight="1">
      <x:c r="A7" s="21" t="str">
        <x:v>selectOutput1</x:v>
      </x:c>
      <x:c r="B7" s="21" t="str">
        <x:v>SelectOutput</x:v>
      </x:c>
      <x:c r="C7" s="21" t="str">
        <x:v>probability</x:v>
      </x:c>
      <x:c r="D7" s="21" t="str">
        <x:v>outT</x:v>
      </x:c>
      <x:c r="E7" s="21" t="n">
        <x:v>0.83</x:v>
      </x:c>
      <x:c r="F7" s="26" t="n">
        <x:v>0.83</x:v>
      </x:c>
      <x:c r="G7" s="21" t="str">
        <x:v>seize1</x:v>
      </x:c>
      <x:c r="H7" s="21" t="str">
        <x:v>YES/TRUE</x:v>
      </x:c>
      <x:c r="I7" s="21" t="str">
        <x:v>MODEL CURRENT</x:v>
      </x:c>
      <x:c r="J7" s="21" t="str">
        <x:v>Edit this SelectOutput property; for 5-way sum weights=1</x:v>
      </x:c>
      <x:c r="K7" s="21" t="str"/>
    </x:row>
    <x:row r="8" ht="28" customHeight="1">
      <x:c r="A8" s="24" t="str">
        <x:v>selectOutput1</x:v>
      </x:c>
      <x:c r="B8" s="24" t="str">
        <x:v>SelectOutput</x:v>
      </x:c>
      <x:c r="C8" s="24" t="str">
        <x:v>probability</x:v>
      </x:c>
      <x:c r="D8" s="24" t="str">
        <x:v>outF</x:v>
      </x:c>
      <x:c r="E8" s="24" t="n">
        <x:v>0.17000000000000004</x:v>
      </x:c>
      <x:c r="F8" s="26" t="n">
        <x:f>1-F7</x:f>
        <x:v>0.17000000000000004</x:v>
      </x:c>
      <x:c r="G8" s="24" t="str">
        <x:v>carMoveTo1</x:v>
      </x:c>
      <x:c r="H8" s="24" t="str">
        <x:v>NO/FALSE</x:v>
      </x:c>
      <x:c r="I8" s="24" t="str">
        <x:v>MODEL CURRENT</x:v>
      </x:c>
      <x:c r="J8" s="24" t="str">
        <x:v>Edit this SelectOutput property; for 5-way sum weights=1</x:v>
      </x:c>
      <x:c r="K8" s="24" t="str"/>
    </x:row>
    <x:row r="9" ht="28" customHeight="1">
      <x:c r="A9" s="21" t="str">
        <x:v>selectOutput5</x:v>
      </x:c>
      <x:c r="B9" s="21" t="str">
        <x:v>SelectOutput5</x:v>
      </x:c>
      <x:c r="C9" s="21" t="str">
        <x:v>self.TYPE_CONDITIONS</x:v>
      </x:c>
      <x:c r="D9" s="21" t="str">
        <x:v>out1</x:v>
      </x:c>
      <x:c r="E9" s="21" t="str">
        <x:v>agent.slot == 0</x:v>
      </x:c>
      <x:c r="F9" s="26" t="str">
        <x:v>agent.slot == 0</x:v>
      </x:c>
      <x:c r="G9" s="21" t="str">
        <x:v>carMoveTo_R1</x:v>
      </x:c>
      <x:c r="H9" s="21" t="str">
        <x:v>TRUE condition / catchall</x:v>
      </x:c>
      <x:c r="I9" s="21" t="str">
        <x:v>MODEL CURRENT</x:v>
      </x:c>
      <x:c r="J9" s="21" t="str">
        <x:v>Edit this SelectOutput property; for 5-way sum weights=1</x:v>
      </x:c>
      <x:c r="K9" s="21" t="str">
        <x:v>Conditional expressions are not probabilities</x:v>
      </x:c>
    </x:row>
    <x:row r="10" ht="28" customHeight="1">
      <x:c r="A10" s="24" t="str">
        <x:v>selectOutput5</x:v>
      </x:c>
      <x:c r="B10" s="24" t="str">
        <x:v>SelectOutput5</x:v>
      </x:c>
      <x:c r="C10" s="24" t="str">
        <x:v>self.TYPE_CONDITIONS</x:v>
      </x:c>
      <x:c r="D10" s="24" t="str">
        <x:v>out2</x:v>
      </x:c>
      <x:c r="E10" s="24" t="str">
        <x:v>agent.slot == 1</x:v>
      </x:c>
      <x:c r="F10" s="26" t="str">
        <x:v>agent.slot == 1</x:v>
      </x:c>
      <x:c r="G10" s="24" t="str">
        <x:v>carMoveTo_R2</x:v>
      </x:c>
      <x:c r="H10" s="24" t="str">
        <x:v>TRUE condition / catchall</x:v>
      </x:c>
      <x:c r="I10" s="24" t="str">
        <x:v>MODEL CURRENT</x:v>
      </x:c>
      <x:c r="J10" s="24" t="str">
        <x:v>Edit this SelectOutput property; for 5-way sum weights=1</x:v>
      </x:c>
      <x:c r="K10" s="24" t="str">
        <x:v>Conditional expressions are not probabilities</x:v>
      </x:c>
    </x:row>
    <x:row r="11" ht="28" customHeight="1">
      <x:c r="A11" s="21" t="str">
        <x:v>selectOutput5</x:v>
      </x:c>
      <x:c r="B11" s="21" t="str">
        <x:v>SelectOutput5</x:v>
      </x:c>
      <x:c r="C11" s="21" t="str">
        <x:v>self.TYPE_CONDITIONS</x:v>
      </x:c>
      <x:c r="D11" s="21" t="str">
        <x:v>out3</x:v>
      </x:c>
      <x:c r="E11" s="21" t="str">
        <x:v>agent.slot == 2</x:v>
      </x:c>
      <x:c r="F11" s="26" t="str">
        <x:v>agent.slot == 2</x:v>
      </x:c>
      <x:c r="G11" s="21" t="str">
        <x:v>carMoveTo_R3</x:v>
      </x:c>
      <x:c r="H11" s="21" t="str">
        <x:v>TRUE condition / catchall</x:v>
      </x:c>
      <x:c r="I11" s="21" t="str">
        <x:v>MODEL CURRENT</x:v>
      </x:c>
      <x:c r="J11" s="21" t="str">
        <x:v>Edit this SelectOutput property; for 5-way sum weights=1</x:v>
      </x:c>
      <x:c r="K11" s="21" t="str">
        <x:v>Conditional expressions are not probabilities</x:v>
      </x:c>
    </x:row>
    <x:row r="12" ht="28" customHeight="1">
      <x:c r="A12" s="24" t="str">
        <x:v>selectOutput5</x:v>
      </x:c>
      <x:c r="B12" s="24" t="str">
        <x:v>SelectOutput5</x:v>
      </x:c>
      <x:c r="C12" s="24" t="str">
        <x:v>self.TYPE_CONDITIONS</x:v>
      </x:c>
      <x:c r="D12" s="24" t="str">
        <x:v>out4</x:v>
      </x:c>
      <x:c r="E12" s="24" t="str">
        <x:v>agent.slot == 3</x:v>
      </x:c>
      <x:c r="F12" s="26" t="str">
        <x:v>agent.slot == 3</x:v>
      </x:c>
      <x:c r="G12" s="24" t="str">
        <x:v>carMoveTo_R4</x:v>
      </x:c>
      <x:c r="H12" s="24" t="str">
        <x:v>TRUE condition / catchall</x:v>
      </x:c>
      <x:c r="I12" s="24" t="str">
        <x:v>MODEL CURRENT</x:v>
      </x:c>
      <x:c r="J12" s="24" t="str">
        <x:v>Edit this SelectOutput property; for 5-way sum weights=1</x:v>
      </x:c>
      <x:c r="K12" s="24" t="str">
        <x:v>Conditional expressions are not probabilities</x:v>
      </x:c>
    </x:row>
    <x:row r="13" ht="28" customHeight="1">
      <x:c r="A13" s="21" t="str">
        <x:v>selectOutput5</x:v>
      </x:c>
      <x:c r="B13" s="21" t="str">
        <x:v>SelectOutput5</x:v>
      </x:c>
      <x:c r="C13" s="21" t="str">
        <x:v>self.TYPE_CONDITIONS</x:v>
      </x:c>
      <x:c r="D13" s="21" t="str">
        <x:v>out5</x:v>
      </x:c>
      <x:c r="E13" s="21" t="str">
        <x:v>else</x:v>
      </x:c>
      <x:c r="F13" s="26" t="str">
        <x:v>else</x:v>
      </x:c>
      <x:c r="G13" s="21" t="str">
        <x:v>carMoveTo_R5</x:v>
      </x:c>
      <x:c r="H13" s="21" t="str">
        <x:v>TRUE condition / catchall</x:v>
      </x:c>
      <x:c r="I13" s="21" t="str">
        <x:v>MODEL CURRENT</x:v>
      </x:c>
      <x:c r="J13" s="21" t="str">
        <x:v>Edit this SelectOutput property; for 5-way sum weights=1</x:v>
      </x:c>
      <x:c r="K13" s="21" t="str">
        <x:v>Conditional expressions are not probabilities</x:v>
      </x:c>
    </x:row>
    <x:row r="14" ht="28" customHeight="1">
      <x:c r="A14" s="24" t="str">
        <x:v>selectOutput6</x:v>
      </x:c>
      <x:c r="B14" s="24" t="str">
        <x:v>SelectOutput5</x:v>
      </x:c>
      <x:c r="C14" s="24" t="str">
        <x:v>self.TYPE_CONDITIONS</x:v>
      </x:c>
      <x:c r="D14" s="24" t="str">
        <x:v>out1</x:v>
      </x:c>
      <x:c r="E14" s="24" t="str">
        <x:v>agent.slot == 0</x:v>
      </x:c>
      <x:c r="F14" s="26" t="str">
        <x:v>agent.slot == 0</x:v>
      </x:c>
      <x:c r="G14" s="24" t="str">
        <x:v>carMoveTo_L1</x:v>
      </x:c>
      <x:c r="H14" s="24" t="str">
        <x:v>TRUE condition / catchall</x:v>
      </x:c>
      <x:c r="I14" s="24" t="str">
        <x:v>MODEL CURRENT</x:v>
      </x:c>
      <x:c r="J14" s="24" t="str">
        <x:v>Edit this SelectOutput property; for 5-way sum weights=1</x:v>
      </x:c>
      <x:c r="K14" s="24" t="str">
        <x:v>Conditional expressions are not probabilities</x:v>
      </x:c>
    </x:row>
    <x:row r="15" ht="28" customHeight="1">
      <x:c r="A15" s="21" t="str">
        <x:v>selectOutput6</x:v>
      </x:c>
      <x:c r="B15" s="21" t="str">
        <x:v>SelectOutput5</x:v>
      </x:c>
      <x:c r="C15" s="21" t="str">
        <x:v>self.TYPE_CONDITIONS</x:v>
      </x:c>
      <x:c r="D15" s="21" t="str">
        <x:v>out2</x:v>
      </x:c>
      <x:c r="E15" s="21" t="str">
        <x:v>agent.slot == 1</x:v>
      </x:c>
      <x:c r="F15" s="26" t="str">
        <x:v>agent.slot == 1</x:v>
      </x:c>
      <x:c r="G15" s="21" t="str">
        <x:v>carMoveTo_L2</x:v>
      </x:c>
      <x:c r="H15" s="21" t="str">
        <x:v>TRUE condition / catchall</x:v>
      </x:c>
      <x:c r="I15" s="21" t="str">
        <x:v>MODEL CURRENT</x:v>
      </x:c>
      <x:c r="J15" s="21" t="str">
        <x:v>Edit this SelectOutput property; for 5-way sum weights=1</x:v>
      </x:c>
      <x:c r="K15" s="21" t="str">
        <x:v>Conditional expressions are not probabilities</x:v>
      </x:c>
    </x:row>
    <x:row r="16" ht="28" customHeight="1">
      <x:c r="A16" s="24" t="str">
        <x:v>selectOutput6</x:v>
      </x:c>
      <x:c r="B16" s="24" t="str">
        <x:v>SelectOutput5</x:v>
      </x:c>
      <x:c r="C16" s="24" t="str">
        <x:v>self.TYPE_CONDITIONS</x:v>
      </x:c>
      <x:c r="D16" s="24" t="str">
        <x:v>out3</x:v>
      </x:c>
      <x:c r="E16" s="24" t="str">
        <x:v>agent.slot == 2</x:v>
      </x:c>
      <x:c r="F16" s="26" t="str">
        <x:v>agent.slot == 2</x:v>
      </x:c>
      <x:c r="G16" s="24" t="str">
        <x:v>carMoveTo_L3</x:v>
      </x:c>
      <x:c r="H16" s="24" t="str">
        <x:v>TRUE condition / catchall</x:v>
      </x:c>
      <x:c r="I16" s="24" t="str">
        <x:v>MODEL CURRENT</x:v>
      </x:c>
      <x:c r="J16" s="24" t="str">
        <x:v>Edit this SelectOutput property; for 5-way sum weights=1</x:v>
      </x:c>
      <x:c r="K16" s="24" t="str">
        <x:v>Conditional expressions are not probabilities</x:v>
      </x:c>
    </x:row>
    <x:row r="17" ht="28" customHeight="1">
      <x:c r="A17" s="21" t="str">
        <x:v>selectOutput6</x:v>
      </x:c>
      <x:c r="B17" s="21" t="str">
        <x:v>SelectOutput5</x:v>
      </x:c>
      <x:c r="C17" s="21" t="str">
        <x:v>self.TYPE_CONDITIONS</x:v>
      </x:c>
      <x:c r="D17" s="21" t="str">
        <x:v>out4</x:v>
      </x:c>
      <x:c r="E17" s="21" t="str">
        <x:v>agent.slot == 3</x:v>
      </x:c>
      <x:c r="F17" s="26" t="str">
        <x:v>agent.slot == 3</x:v>
      </x:c>
      <x:c r="G17" s="21" t="str">
        <x:v>carMoveTo_L4</x:v>
      </x:c>
      <x:c r="H17" s="21" t="str">
        <x:v>TRUE condition / catchall</x:v>
      </x:c>
      <x:c r="I17" s="21" t="str">
        <x:v>MODEL CURRENT</x:v>
      </x:c>
      <x:c r="J17" s="21" t="str">
        <x:v>Edit this SelectOutput property; for 5-way sum weights=1</x:v>
      </x:c>
      <x:c r="K17" s="21" t="str">
        <x:v>Conditional expressions are not probabilities</x:v>
      </x:c>
    </x:row>
    <x:row r="18" ht="28" customHeight="1">
      <x:c r="A18" s="24" t="str">
        <x:v>selectOutput6</x:v>
      </x:c>
      <x:c r="B18" s="24" t="str">
        <x:v>SelectOutput5</x:v>
      </x:c>
      <x:c r="C18" s="24" t="str">
        <x:v>self.TYPE_CONDITIONS</x:v>
      </x:c>
      <x:c r="D18" s="24" t="str">
        <x:v>out5</x:v>
      </x:c>
      <x:c r="E18" s="24" t="str">
        <x:v>else</x:v>
      </x:c>
      <x:c r="F18" s="26" t="str">
        <x:v>else</x:v>
      </x:c>
      <x:c r="G18" s="24" t="str">
        <x:v>selectOutput7</x:v>
      </x:c>
      <x:c r="H18" s="24" t="str">
        <x:v>TRUE condition / catchall</x:v>
      </x:c>
      <x:c r="I18" s="24" t="str">
        <x:v>MODEL CURRENT</x:v>
      </x:c>
      <x:c r="J18" s="24" t="str">
        <x:v>Edit this SelectOutput property; for 5-way sum weights=1</x:v>
      </x:c>
      <x:c r="K18" s="24" t="str">
        <x:v>Conditional expressions are not probabilities</x:v>
      </x:c>
    </x:row>
    <x:row r="19" ht="28" customHeight="1">
      <x:c r="A19" s="21" t="str">
        <x:v>selectOutput7</x:v>
      </x:c>
      <x:c r="B19" s="21" t="str">
        <x:v>SelectOutput5</x:v>
      </x:c>
      <x:c r="C19" s="21" t="str">
        <x:v>self.TYPE_CONDITIONS</x:v>
      </x:c>
      <x:c r="D19" s="21" t="str">
        <x:v>out1</x:v>
      </x:c>
      <x:c r="E19" s="21" t="str">
        <x:v>agent.slot == 4</x:v>
      </x:c>
      <x:c r="F19" s="26" t="str">
        <x:v>agent.slot == 4</x:v>
      </x:c>
      <x:c r="G19" s="21" t="str">
        <x:v>carMoveTo_L5</x:v>
      </x:c>
      <x:c r="H19" s="21" t="str">
        <x:v>TRUE condition / catchall</x:v>
      </x:c>
      <x:c r="I19" s="21" t="str">
        <x:v>MODEL CURRENT</x:v>
      </x:c>
      <x:c r="J19" s="21" t="str">
        <x:v>Edit this SelectOutput property; for 5-way sum weights=1</x:v>
      </x:c>
      <x:c r="K19" s="21" t="str">
        <x:v>Conditional expressions are not probabilities</x:v>
      </x:c>
    </x:row>
    <x:row r="20" ht="28" customHeight="1">
      <x:c r="A20" s="24" t="str">
        <x:v>selectOutput7</x:v>
      </x:c>
      <x:c r="B20" s="24" t="str">
        <x:v>SelectOutput5</x:v>
      </x:c>
      <x:c r="C20" s="24" t="str">
        <x:v>self.TYPE_CONDITIONS</x:v>
      </x:c>
      <x:c r="D20" s="24" t="str">
        <x:v>out2</x:v>
      </x:c>
      <x:c r="E20" s="24" t="str">
        <x:v>agent.slot == 5</x:v>
      </x:c>
      <x:c r="F20" s="26" t="str">
        <x:v>agent.slot == 5</x:v>
      </x:c>
      <x:c r="G20" s="24" t="str">
        <x:v>carMoveTo_L6</x:v>
      </x:c>
      <x:c r="H20" s="24" t="str">
        <x:v>TRUE condition / catchall</x:v>
      </x:c>
      <x:c r="I20" s="24" t="str">
        <x:v>MODEL CURRENT</x:v>
      </x:c>
      <x:c r="J20" s="24" t="str">
        <x:v>Edit this SelectOutput property; for 5-way sum weights=1</x:v>
      </x:c>
      <x:c r="K20" s="24" t="str">
        <x:v>Conditional expressions are not probabilities</x:v>
      </x:c>
    </x:row>
    <x:row r="21" ht="28" customHeight="1">
      <x:c r="A21" s="21" t="str">
        <x:v>selectOutput7</x:v>
      </x:c>
      <x:c r="B21" s="21" t="str">
        <x:v>SelectOutput5</x:v>
      </x:c>
      <x:c r="C21" s="21" t="str">
        <x:v>self.TYPE_CONDITIONS</x:v>
      </x:c>
      <x:c r="D21" s="21" t="str">
        <x:v>out3</x:v>
      </x:c>
      <x:c r="E21" s="21" t="str">
        <x:v>agent.slot == 6</x:v>
      </x:c>
      <x:c r="F21" s="26" t="str">
        <x:v>agent.slot == 6</x:v>
      </x:c>
      <x:c r="G21" s="21" t="str">
        <x:v>carMoveTo_L7</x:v>
      </x:c>
      <x:c r="H21" s="21" t="str">
        <x:v>TRUE condition / catchall</x:v>
      </x:c>
      <x:c r="I21" s="21" t="str">
        <x:v>MODEL CURRENT</x:v>
      </x:c>
      <x:c r="J21" s="21" t="str">
        <x:v>Edit this SelectOutput property; for 5-way sum weights=1</x:v>
      </x:c>
      <x:c r="K21" s="21" t="str">
        <x:v>Conditional expressions are not probabilities</x:v>
      </x:c>
    </x:row>
    <x:row r="22" ht="28" customHeight="1">
      <x:c r="A22" s="24" t="str">
        <x:v>selectOutput7</x:v>
      </x:c>
      <x:c r="B22" s="24" t="str">
        <x:v>SelectOutput5</x:v>
      </x:c>
      <x:c r="C22" s="24" t="str">
        <x:v>self.TYPE_CONDITIONS</x:v>
      </x:c>
      <x:c r="D22" s="24" t="str">
        <x:v>out4</x:v>
      </x:c>
      <x:c r="E22" s="24" t="str">
        <x:v>agent.slot == 7</x:v>
      </x:c>
      <x:c r="F22" s="26" t="str">
        <x:v>agent.slot == 7</x:v>
      </x:c>
      <x:c r="G22" s="24" t="str">
        <x:v>carMoveTo_L8</x:v>
      </x:c>
      <x:c r="H22" s="24" t="str">
        <x:v>TRUE condition / catchall</x:v>
      </x:c>
      <x:c r="I22" s="24" t="str">
        <x:v>MODEL CURRENT</x:v>
      </x:c>
      <x:c r="J22" s="24" t="str">
        <x:v>Edit this SelectOutput property; for 5-way sum weights=1</x:v>
      </x:c>
      <x:c r="K22" s="24" t="str">
        <x:v>Conditional expressions are not probabilities</x:v>
      </x:c>
    </x:row>
    <x:row r="23" ht="28" customHeight="1">
      <x:c r="A23" s="21" t="str">
        <x:v>selectOutput7</x:v>
      </x:c>
      <x:c r="B23" s="21" t="str">
        <x:v>SelectOutput5</x:v>
      </x:c>
      <x:c r="C23" s="21" t="str">
        <x:v>self.TYPE_CONDITIONS</x:v>
      </x:c>
      <x:c r="D23" s="21" t="str">
        <x:v>out5</x:v>
      </x:c>
      <x:c r="E23" s="21" t="str">
        <x:v>else</x:v>
      </x:c>
      <x:c r="F23" s="26" t="str">
        <x:v>else</x:v>
      </x:c>
      <x:c r="G23" s="21" t="str">
        <x:v>(not connected in saved model)</x:v>
      </x:c>
      <x:c r="H23" s="21" t="str">
        <x:v>TRUE condition / catchall</x:v>
      </x:c>
      <x:c r="I23" s="21" t="str">
        <x:v>MODEL CURRENT</x:v>
      </x:c>
      <x:c r="J23" s="21" t="str">
        <x:v>Edit this SelectOutput property; for 5-way sum weights=1</x:v>
      </x:c>
      <x:c r="K23" s="21" t="str">
        <x:v>Conditional expressions are not probabilities</x:v>
      </x:c>
    </x:row>
    <x:row r="24" ht="28" customHeight="1">
      <x:c r="A24" s="24" t="str">
        <x:v>selectOutput2</x:v>
      </x:c>
      <x:c r="B24" s="24" t="str">
        <x:v>SelectOutput</x:v>
      </x:c>
      <x:c r="C24" s="24" t="str">
        <x:v>probability</x:v>
      </x:c>
      <x:c r="D24" s="24" t="str">
        <x:v>outT</x:v>
      </x:c>
      <x:c r="E24" s="24" t="n">
        <x:v>0.1</x:v>
      </x:c>
      <x:c r="F24" s="26" t="n">
        <x:v>0.1</x:v>
      </x:c>
      <x:c r="G24" s="24" t="str">
        <x:v>carMoveTo7</x:v>
      </x:c>
      <x:c r="H24" s="24" t="str">
        <x:v>YES/TRUE</x:v>
      </x:c>
      <x:c r="I24" s="24" t="str">
        <x:v>MODEL CURRENT</x:v>
      </x:c>
      <x:c r="J24" s="24" t="str">
        <x:v>Edit this SelectOutput property; for 5-way sum weights=1</x:v>
      </x:c>
      <x:c r="K24" s="24" t="str"/>
    </x:row>
    <x:row r="25" ht="28" customHeight="1">
      <x:c r="A25" s="21" t="str">
        <x:v>selectOutput2</x:v>
      </x:c>
      <x:c r="B25" s="21" t="str">
        <x:v>SelectOutput</x:v>
      </x:c>
      <x:c r="C25" s="21" t="str">
        <x:v>probability</x:v>
      </x:c>
      <x:c r="D25" s="21" t="str">
        <x:v>outF</x:v>
      </x:c>
      <x:c r="E25" s="21" t="n">
        <x:v>0.9</x:v>
      </x:c>
      <x:c r="F25" s="26" t="n">
        <x:f>1-F24</x:f>
        <x:v>0.9</x:v>
      </x:c>
      <x:c r="G25" s="21" t="str">
        <x:v>carMoveTo11</x:v>
      </x:c>
      <x:c r="H25" s="21" t="str">
        <x:v>NO/FALSE</x:v>
      </x:c>
      <x:c r="I25" s="21" t="str">
        <x:v>MODEL CURRENT</x:v>
      </x:c>
      <x:c r="J25" s="21" t="str">
        <x:v>Edit this SelectOutput property; for 5-way sum weights=1</x:v>
      </x:c>
      <x:c r="K25" s="21" t="str"/>
    </x:row>
    <x:row r="26" ht="28" customHeight="1">
      <x:c r="A26" s="24" t="str">
        <x:v>selectOutput3</x:v>
      </x:c>
      <x:c r="B26" s="24" t="str">
        <x:v>SelectOutput</x:v>
      </x:c>
      <x:c r="C26" s="24" t="str">
        <x:v>probability</x:v>
      </x:c>
      <x:c r="D26" s="24" t="str">
        <x:v>outT</x:v>
      </x:c>
      <x:c r="E26" s="24" t="n">
        <x:v>0.9</x:v>
      </x:c>
      <x:c r="F26" s="26" t="n">
        <x:v>0.9</x:v>
      </x:c>
      <x:c r="G26" s="24" t="str">
        <x:v>carMoveTo8</x:v>
      </x:c>
      <x:c r="H26" s="24" t="str">
        <x:v>YES/TRUE</x:v>
      </x:c>
      <x:c r="I26" s="24" t="str">
        <x:v>MODEL CURRENT</x:v>
      </x:c>
      <x:c r="J26" s="24" t="str">
        <x:v>Edit this SelectOutput property; for 5-way sum weights=1</x:v>
      </x:c>
      <x:c r="K26" s="24" t="str"/>
    </x:row>
    <x:row r="27" ht="28" customHeight="1">
      <x:c r="A27" s="21" t="str">
        <x:v>selectOutput3</x:v>
      </x:c>
      <x:c r="B27" s="21" t="str">
        <x:v>SelectOutput</x:v>
      </x:c>
      <x:c r="C27" s="21" t="str">
        <x:v>probability</x:v>
      </x:c>
      <x:c r="D27" s="21" t="str">
        <x:v>outF</x:v>
      </x:c>
      <x:c r="E27" s="21" t="n">
        <x:v>0.09999999999999998</x:v>
      </x:c>
      <x:c r="F27" s="26" t="n">
        <x:f>1-F26</x:f>
        <x:v>0.09999999999999998</x:v>
      </x:c>
      <x:c r="G27" s="21" t="str">
        <x:v>carMoveTo12</x:v>
      </x:c>
      <x:c r="H27" s="21" t="str">
        <x:v>NO/FALSE</x:v>
      </x:c>
      <x:c r="I27" s="21" t="str">
        <x:v>MODEL CURRENT</x:v>
      </x:c>
      <x:c r="J27" s="21" t="str">
        <x:v>Edit this SelectOutput property; for 5-way sum weights=1</x:v>
      </x:c>
      <x:c r="K27" s="21" t="str"/>
    </x:row>
    <x:row r="28" ht="28" customHeight="1">
      <x:c r="A28" s="24" t="str">
        <x:v>selectOutput8</x:v>
      </x:c>
      <x:c r="B28" s="24" t="str">
        <x:v>SelectOutput5</x:v>
      </x:c>
      <x:c r="C28" s="24" t="str">
        <x:v>probability (default)</x:v>
      </x:c>
      <x:c r="D28" s="24" t="str">
        <x:v>out1</x:v>
      </x:c>
      <x:c r="E28" s="24" t="n">
        <x:v>0.7</x:v>
      </x:c>
      <x:c r="F28" s="26" t="n">
        <x:v>0.7</x:v>
      </x:c>
      <x:c r="G28" s="24" t="str">
        <x:v>carMoveTo4</x:v>
      </x:c>
      <x:c r="H28" s="24" t="str">
        <x:v>weighted output</x:v>
      </x:c>
      <x:c r="I28" s="24" t="str">
        <x:v>MODEL CURRENT</x:v>
      </x:c>
      <x:c r="J28" s="24" t="str">
        <x:v>Edit this SelectOutput property; for 5-way sum weights=1</x:v>
      </x:c>
      <x:c r="K28" s="24" t="str"/>
    </x:row>
    <x:row r="29" ht="28" customHeight="1">
      <x:c r="A29" s="21" t="str">
        <x:v>selectOutput8</x:v>
      </x:c>
      <x:c r="B29" s="21" t="str">
        <x:v>SelectOutput5</x:v>
      </x:c>
      <x:c r="C29" s="21" t="str">
        <x:v>probability (default)</x:v>
      </x:c>
      <x:c r="D29" s="21" t="str">
        <x:v>out2</x:v>
      </x:c>
      <x:c r="E29" s="21" t="n">
        <x:v>0.3</x:v>
      </x:c>
      <x:c r="F29" s="26" t="n">
        <x:v>0.3</x:v>
      </x:c>
      <x:c r="G29" s="21" t="str">
        <x:v>carMoveTo10</x:v>
      </x:c>
      <x:c r="H29" s="21" t="str">
        <x:v>weighted output</x:v>
      </x:c>
      <x:c r="I29" s="21" t="str">
        <x:v>MODEL CURRENT</x:v>
      </x:c>
      <x:c r="J29" s="21" t="str">
        <x:v>Edit this SelectOutput property; for 5-way sum weights=1</x:v>
      </x:c>
      <x:c r="K29" s="21" t="str"/>
    </x:row>
    <x:row r="30" ht="28" customHeight="1">
      <x:c r="A30" s="24" t="str">
        <x:v>selectOutput8</x:v>
      </x:c>
      <x:c r="B30" s="24" t="str">
        <x:v>SelectOutput5</x:v>
      </x:c>
      <x:c r="C30" s="24" t="str">
        <x:v>probability (default)</x:v>
      </x:c>
      <x:c r="D30" s="24" t="str">
        <x:v>out3</x:v>
      </x:c>
      <x:c r="E30" s="24" t="n">
        <x:v>0</x:v>
      </x:c>
      <x:c r="F30" s="26" t="n">
        <x:v>0</x:v>
      </x:c>
      <x:c r="G30" s="24" t="str">
        <x:v>(not connected in saved model)</x:v>
      </x:c>
      <x:c r="H30" s="24" t="str">
        <x:v>weighted output</x:v>
      </x:c>
      <x:c r="I30" s="24" t="str">
        <x:v>MODEL CURRENT</x:v>
      </x:c>
      <x:c r="J30" s="24" t="str">
        <x:v>Edit this SelectOutput property; for 5-way sum weights=1</x:v>
      </x:c>
      <x:c r="K30" s="24" t="str"/>
    </x:row>
    <x:row r="31" ht="28" customHeight="1">
      <x:c r="A31" s="21" t="str">
        <x:v>selectOutput8</x:v>
      </x:c>
      <x:c r="B31" s="21" t="str">
        <x:v>SelectOutput5</x:v>
      </x:c>
      <x:c r="C31" s="21" t="str">
        <x:v>probability (default)</x:v>
      </x:c>
      <x:c r="D31" s="21" t="str">
        <x:v>out4</x:v>
      </x:c>
      <x:c r="E31" s="21" t="n">
        <x:v>0</x:v>
      </x:c>
      <x:c r="F31" s="26" t="n">
        <x:v>0</x:v>
      </x:c>
      <x:c r="G31" s="21" t="str">
        <x:v>(not connected in saved model)</x:v>
      </x:c>
      <x:c r="H31" s="21" t="str">
        <x:v>weighted output</x:v>
      </x:c>
      <x:c r="I31" s="21" t="str">
        <x:v>MODEL CURRENT</x:v>
      </x:c>
      <x:c r="J31" s="21" t="str">
        <x:v>Edit this SelectOutput property; for 5-way sum weights=1</x:v>
      </x:c>
      <x:c r="K31" s="21" t="str"/>
    </x:row>
    <x:row r="32" ht="28" customHeight="1">
      <x:c r="A32" s="24" t="str">
        <x:v>selectOutput8</x:v>
      </x:c>
      <x:c r="B32" s="24" t="str">
        <x:v>SelectOutput5</x:v>
      </x:c>
      <x:c r="C32" s="24" t="str">
        <x:v>probability (default)</x:v>
      </x:c>
      <x:c r="D32" s="24" t="str">
        <x:v>out5</x:v>
      </x:c>
      <x:c r="E32" s="24" t="n">
        <x:v>0</x:v>
      </x:c>
      <x:c r="F32" s="26" t="n">
        <x:v>0</x:v>
      </x:c>
      <x:c r="G32" s="24" t="str">
        <x:v>(not connected in saved model)</x:v>
      </x:c>
      <x:c r="H32" s="24" t="str">
        <x:v>weighted output</x:v>
      </x:c>
      <x:c r="I32" s="24" t="str">
        <x:v>MODEL CURRENT</x:v>
      </x:c>
      <x:c r="J32" s="24" t="str">
        <x:v>Edit this SelectOutput property; for 5-way sum weights=1</x:v>
      </x:c>
      <x:c r="K32" s="24" t="str"/>
    </x:row>
    <x:row r="33" ht="28" customHeight="1">
      <x:c r="A33" s="21" t="str">
        <x:v>selectOutput9</x:v>
      </x:c>
      <x:c r="B33" s="21" t="str">
        <x:v>SelectOutput5</x:v>
      </x:c>
      <x:c r="C33" s="21" t="str">
        <x:v>probability (default)</x:v>
      </x:c>
      <x:c r="D33" s="21" t="str">
        <x:v>out1</x:v>
      </x:c>
      <x:c r="E33" s="21" t="n">
        <x:v>0.7</x:v>
      </x:c>
      <x:c r="F33" s="26" t="n">
        <x:v>0.7</x:v>
      </x:c>
      <x:c r="G33" s="21" t="str">
        <x:v>carMoveTo3</x:v>
      </x:c>
      <x:c r="H33" s="21" t="str">
        <x:v>weighted output</x:v>
      </x:c>
      <x:c r="I33" s="21" t="str">
        <x:v>MODEL CURRENT</x:v>
      </x:c>
      <x:c r="J33" s="21" t="str">
        <x:v>Edit this SelectOutput property; for 5-way sum weights=1</x:v>
      </x:c>
      <x:c r="K33" s="21" t="str"/>
    </x:row>
    <x:row r="34" ht="28" customHeight="1">
      <x:c r="A34" s="24" t="str">
        <x:v>selectOutput9</x:v>
      </x:c>
      <x:c r="B34" s="24" t="str">
        <x:v>SelectOutput5</x:v>
      </x:c>
      <x:c r="C34" s="24" t="str">
        <x:v>probability (default)</x:v>
      </x:c>
      <x:c r="D34" s="24" t="str">
        <x:v>out2</x:v>
      </x:c>
      <x:c r="E34" s="24" t="n">
        <x:v>0.3</x:v>
      </x:c>
      <x:c r="F34" s="26" t="n">
        <x:v>0.3</x:v>
      </x:c>
      <x:c r="G34" s="24" t="str">
        <x:v>carMoveTo13</x:v>
      </x:c>
      <x:c r="H34" s="24" t="str">
        <x:v>weighted output</x:v>
      </x:c>
      <x:c r="I34" s="24" t="str">
        <x:v>MODEL CURRENT</x:v>
      </x:c>
      <x:c r="J34" s="24" t="str">
        <x:v>Edit this SelectOutput property; for 5-way sum weights=1</x:v>
      </x:c>
      <x:c r="K34" s="24" t="str"/>
    </x:row>
    <x:row r="35" ht="28" customHeight="1">
      <x:c r="A35" s="21" t="str">
        <x:v>selectOutput9</x:v>
      </x:c>
      <x:c r="B35" s="21" t="str">
        <x:v>SelectOutput5</x:v>
      </x:c>
      <x:c r="C35" s="21" t="str">
        <x:v>probability (default)</x:v>
      </x:c>
      <x:c r="D35" s="21" t="str">
        <x:v>out3</x:v>
      </x:c>
      <x:c r="E35" s="21" t="n">
        <x:v>0</x:v>
      </x:c>
      <x:c r="F35" s="26" t="n">
        <x:v>0</x:v>
      </x:c>
      <x:c r="G35" s="21" t="str">
        <x:v>(not connected in saved model)</x:v>
      </x:c>
      <x:c r="H35" s="21" t="str">
        <x:v>weighted output</x:v>
      </x:c>
      <x:c r="I35" s="21" t="str">
        <x:v>MODEL CURRENT</x:v>
      </x:c>
      <x:c r="J35" s="21" t="str">
        <x:v>Edit this SelectOutput property; for 5-way sum weights=1</x:v>
      </x:c>
      <x:c r="K35" s="21" t="str"/>
    </x:row>
    <x:row r="36" ht="28" customHeight="1">
      <x:c r="A36" s="24" t="str">
        <x:v>selectOutput9</x:v>
      </x:c>
      <x:c r="B36" s="24" t="str">
        <x:v>SelectOutput5</x:v>
      </x:c>
      <x:c r="C36" s="24" t="str">
        <x:v>probability (default)</x:v>
      </x:c>
      <x:c r="D36" s="24" t="str">
        <x:v>out4</x:v>
      </x:c>
      <x:c r="E36" s="24" t="n">
        <x:v>0</x:v>
      </x:c>
      <x:c r="F36" s="26" t="n">
        <x:v>0</x:v>
      </x:c>
      <x:c r="G36" s="24" t="str">
        <x:v>(not connected in saved model)</x:v>
      </x:c>
      <x:c r="H36" s="24" t="str">
        <x:v>weighted output</x:v>
      </x:c>
      <x:c r="I36" s="24" t="str">
        <x:v>MODEL CURRENT</x:v>
      </x:c>
      <x:c r="J36" s="24" t="str">
        <x:v>Edit this SelectOutput property; for 5-way sum weights=1</x:v>
      </x:c>
      <x:c r="K36" s="24" t="str"/>
    </x:row>
    <x:row r="37" ht="28" customHeight="1">
      <x:c r="A37" s="21" t="str">
        <x:v>selectOutput9</x:v>
      </x:c>
      <x:c r="B37" s="21" t="str">
        <x:v>SelectOutput5</x:v>
      </x:c>
      <x:c r="C37" s="21" t="str">
        <x:v>probability (default)</x:v>
      </x:c>
      <x:c r="D37" s="21" t="str">
        <x:v>out5</x:v>
      </x:c>
      <x:c r="E37" s="21" t="n">
        <x:v>0</x:v>
      </x:c>
      <x:c r="F37" s="26" t="n">
        <x:v>0</x:v>
      </x:c>
      <x:c r="G37" s="21" t="str">
        <x:v>(not connected in saved model)</x:v>
      </x:c>
      <x:c r="H37" s="21" t="str">
        <x:v>weighted output</x:v>
      </x:c>
      <x:c r="I37" s="21" t="str">
        <x:v>MODEL CURRENT</x:v>
      </x:c>
      <x:c r="J37" s="21" t="str">
        <x:v>Edit this SelectOutput property; for 5-way sum weights=1</x:v>
      </x:c>
      <x:c r="K37" s="21" t="str"/>
    </x:row>
    <x:row r="38" ht="28" customHeight="1">
      <x:c r="A38" s="24" t="str">
        <x:v>selectOutput10</x:v>
      </x:c>
      <x:c r="B38" s="24" t="str">
        <x:v>SelectOutput5</x:v>
      </x:c>
      <x:c r="C38" s="24" t="str">
        <x:v>probability (default)</x:v>
      </x:c>
      <x:c r="D38" s="24" t="str">
        <x:v>out1</x:v>
      </x:c>
      <x:c r="E38" s="24" t="n">
        <x:v>0.7</x:v>
      </x:c>
      <x:c r="F38" s="26" t="n">
        <x:v>0.7</x:v>
      </x:c>
      <x:c r="G38" s="24" t="str">
        <x:v>carMoveTo5</x:v>
      </x:c>
      <x:c r="H38" s="24" t="str">
        <x:v>weighted output</x:v>
      </x:c>
      <x:c r="I38" s="24" t="str">
        <x:v>MODEL CURRENT</x:v>
      </x:c>
      <x:c r="J38" s="24" t="str">
        <x:v>Edit this SelectOutput property; for 5-way sum weights=1</x:v>
      </x:c>
      <x:c r="K38" s="24" t="str"/>
    </x:row>
    <x:row r="39" ht="28" customHeight="1">
      <x:c r="A39" s="21" t="str">
        <x:v>selectOutput10</x:v>
      </x:c>
      <x:c r="B39" s="21" t="str">
        <x:v>SelectOutput5</x:v>
      </x:c>
      <x:c r="C39" s="21" t="str">
        <x:v>probability (default)</x:v>
      </x:c>
      <x:c r="D39" s="21" t="str">
        <x:v>out2</x:v>
      </x:c>
      <x:c r="E39" s="21" t="n">
        <x:v>0.3</x:v>
      </x:c>
      <x:c r="F39" s="26" t="n">
        <x:v>0.3</x:v>
      </x:c>
      <x:c r="G39" s="21" t="str">
        <x:v>carMoveTo14</x:v>
      </x:c>
      <x:c r="H39" s="21" t="str">
        <x:v>weighted output</x:v>
      </x:c>
      <x:c r="I39" s="21" t="str">
        <x:v>MODEL CURRENT</x:v>
      </x:c>
      <x:c r="J39" s="21" t="str">
        <x:v>Edit this SelectOutput property; for 5-way sum weights=1</x:v>
      </x:c>
      <x:c r="K39" s="21" t="str"/>
    </x:row>
    <x:row r="40" ht="28" customHeight="1">
      <x:c r="A40" s="24" t="str">
        <x:v>selectOutput10</x:v>
      </x:c>
      <x:c r="B40" s="24" t="str">
        <x:v>SelectOutput5</x:v>
      </x:c>
      <x:c r="C40" s="24" t="str">
        <x:v>probability (default)</x:v>
      </x:c>
      <x:c r="D40" s="24" t="str">
        <x:v>out3</x:v>
      </x:c>
      <x:c r="E40" s="24" t="n">
        <x:v>0</x:v>
      </x:c>
      <x:c r="F40" s="26" t="n">
        <x:v>0</x:v>
      </x:c>
      <x:c r="G40" s="24" t="str">
        <x:v>(not connected in saved model)</x:v>
      </x:c>
      <x:c r="H40" s="24" t="str">
        <x:v>weighted output</x:v>
      </x:c>
      <x:c r="I40" s="24" t="str">
        <x:v>MODEL CURRENT</x:v>
      </x:c>
      <x:c r="J40" s="24" t="str">
        <x:v>Edit this SelectOutput property; for 5-way sum weights=1</x:v>
      </x:c>
      <x:c r="K40" s="24" t="str"/>
    </x:row>
    <x:row r="41" ht="28" customHeight="1">
      <x:c r="A41" s="21" t="str">
        <x:v>selectOutput10</x:v>
      </x:c>
      <x:c r="B41" s="21" t="str">
        <x:v>SelectOutput5</x:v>
      </x:c>
      <x:c r="C41" s="21" t="str">
        <x:v>probability (default)</x:v>
      </x:c>
      <x:c r="D41" s="21" t="str">
        <x:v>out4</x:v>
      </x:c>
      <x:c r="E41" s="21" t="n">
        <x:v>0</x:v>
      </x:c>
      <x:c r="F41" s="26" t="n">
        <x:v>0</x:v>
      </x:c>
      <x:c r="G41" s="21" t="str">
        <x:v>(not connected in saved model)</x:v>
      </x:c>
      <x:c r="H41" s="21" t="str">
        <x:v>weighted output</x:v>
      </x:c>
      <x:c r="I41" s="21" t="str">
        <x:v>MODEL CURRENT</x:v>
      </x:c>
      <x:c r="J41" s="21" t="str">
        <x:v>Edit this SelectOutput property; for 5-way sum weights=1</x:v>
      </x:c>
      <x:c r="K41" s="21" t="str"/>
    </x:row>
    <x:row r="42" ht="28" customHeight="1">
      <x:c r="A42" s="24" t="str">
        <x:v>selectOutput10</x:v>
      </x:c>
      <x:c r="B42" s="24" t="str">
        <x:v>SelectOutput5</x:v>
      </x:c>
      <x:c r="C42" s="24" t="str">
        <x:v>probability (default)</x:v>
      </x:c>
      <x:c r="D42" s="24" t="str">
        <x:v>out5</x:v>
      </x:c>
      <x:c r="E42" s="24" t="n">
        <x:v>0</x:v>
      </x:c>
      <x:c r="F42" s="26" t="n">
        <x:v>0</x:v>
      </x:c>
      <x:c r="G42" s="24" t="str">
        <x:v>(not connected in saved model)</x:v>
      </x:c>
      <x:c r="H42" s="24" t="str">
        <x:v>weighted output</x:v>
      </x:c>
      <x:c r="I42" s="24" t="str">
        <x:v>MODEL CURRENT</x:v>
      </x:c>
      <x:c r="J42" s="24" t="str">
        <x:v>Edit this SelectOutput property; for 5-way sum weights=1</x:v>
      </x:c>
      <x:c r="K42" s="24" t="str"/>
    </x:row>
    <x:row r="43" ht="28" customHeight="1">
      <x:c r="A43" s="21" t="str">
        <x:v>selectOutput11</x:v>
      </x:c>
      <x:c r="B43" s="21" t="str">
        <x:v>SelectOutput5</x:v>
      </x:c>
      <x:c r="C43" s="21" t="str">
        <x:v>probability (default)</x:v>
      </x:c>
      <x:c r="D43" s="21" t="str">
        <x:v>out1</x:v>
      </x:c>
      <x:c r="E43" s="21" t="n">
        <x:v>0.7</x:v>
      </x:c>
      <x:c r="F43" s="26" t="n">
        <x:v>0.7</x:v>
      </x:c>
      <x:c r="G43" s="21" t="str">
        <x:v>carMoveTo6</x:v>
      </x:c>
      <x:c r="H43" s="21" t="str">
        <x:v>weighted output</x:v>
      </x:c>
      <x:c r="I43" s="21" t="str">
        <x:v>MODEL CURRENT</x:v>
      </x:c>
      <x:c r="J43" s="21" t="str">
        <x:v>Edit this SelectOutput property; for 5-way sum weights=1</x:v>
      </x:c>
      <x:c r="K43" s="21" t="str"/>
    </x:row>
    <x:row r="44" ht="28" customHeight="1">
      <x:c r="A44" s="24" t="str">
        <x:v>selectOutput11</x:v>
      </x:c>
      <x:c r="B44" s="24" t="str">
        <x:v>SelectOutput5</x:v>
      </x:c>
      <x:c r="C44" s="24" t="str">
        <x:v>probability (default)</x:v>
      </x:c>
      <x:c r="D44" s="24" t="str">
        <x:v>out2</x:v>
      </x:c>
      <x:c r="E44" s="24" t="n">
        <x:v>0.3</x:v>
      </x:c>
      <x:c r="F44" s="26" t="n">
        <x:v>0.3</x:v>
      </x:c>
      <x:c r="G44" s="24" t="str">
        <x:v>carMoveTo15</x:v>
      </x:c>
      <x:c r="H44" s="24" t="str">
        <x:v>weighted output</x:v>
      </x:c>
      <x:c r="I44" s="24" t="str">
        <x:v>MODEL CURRENT</x:v>
      </x:c>
      <x:c r="J44" s="24" t="str">
        <x:v>Edit this SelectOutput property; for 5-way sum weights=1</x:v>
      </x:c>
      <x:c r="K44" s="24" t="str"/>
    </x:row>
    <x:row r="45" ht="28" customHeight="1">
      <x:c r="A45" s="21" t="str">
        <x:v>selectOutput11</x:v>
      </x:c>
      <x:c r="B45" s="21" t="str">
        <x:v>SelectOutput5</x:v>
      </x:c>
      <x:c r="C45" s="21" t="str">
        <x:v>probability (default)</x:v>
      </x:c>
      <x:c r="D45" s="21" t="str">
        <x:v>out3</x:v>
      </x:c>
      <x:c r="E45" s="21" t="n">
        <x:v>0</x:v>
      </x:c>
      <x:c r="F45" s="26" t="n">
        <x:v>0</x:v>
      </x:c>
      <x:c r="G45" s="21" t="str">
        <x:v>(not connected in saved model)</x:v>
      </x:c>
      <x:c r="H45" s="21" t="str">
        <x:v>weighted output</x:v>
      </x:c>
      <x:c r="I45" s="21" t="str">
        <x:v>MODEL CURRENT</x:v>
      </x:c>
      <x:c r="J45" s="21" t="str">
        <x:v>Edit this SelectOutput property; for 5-way sum weights=1</x:v>
      </x:c>
      <x:c r="K45" s="21" t="str"/>
    </x:row>
    <x:row r="46" ht="28" customHeight="1">
      <x:c r="A46" s="24" t="str">
        <x:v>selectOutput11</x:v>
      </x:c>
      <x:c r="B46" s="24" t="str">
        <x:v>SelectOutput5</x:v>
      </x:c>
      <x:c r="C46" s="24" t="str">
        <x:v>probability (default)</x:v>
      </x:c>
      <x:c r="D46" s="24" t="str">
        <x:v>out4</x:v>
      </x:c>
      <x:c r="E46" s="24" t="n">
        <x:v>0</x:v>
      </x:c>
      <x:c r="F46" s="26" t="n">
        <x:v>0</x:v>
      </x:c>
      <x:c r="G46" s="24" t="str">
        <x:v>(not connected in saved model)</x:v>
      </x:c>
      <x:c r="H46" s="24" t="str">
        <x:v>weighted output</x:v>
      </x:c>
      <x:c r="I46" s="24" t="str">
        <x:v>MODEL CURRENT</x:v>
      </x:c>
      <x:c r="J46" s="24" t="str">
        <x:v>Edit this SelectOutput property; for 5-way sum weights=1</x:v>
      </x:c>
      <x:c r="K46" s="24" t="str"/>
    </x:row>
    <x:row r="47" ht="28" customHeight="1">
      <x:c r="A47" s="21" t="str">
        <x:v>selectOutput11</x:v>
      </x:c>
      <x:c r="B47" s="21" t="str">
        <x:v>SelectOutput5</x:v>
      </x:c>
      <x:c r="C47" s="21" t="str">
        <x:v>probability (default)</x:v>
      </x:c>
      <x:c r="D47" s="21" t="str">
        <x:v>out5</x:v>
      </x:c>
      <x:c r="E47" s="21" t="n">
        <x:v>0</x:v>
      </x:c>
      <x:c r="F47" s="26" t="n">
        <x:v>0</x:v>
      </x:c>
      <x:c r="G47" s="21" t="str">
        <x:v>(not connected in saved model)</x:v>
      </x:c>
      <x:c r="H47" s="21" t="str">
        <x:v>weighted output</x:v>
      </x:c>
      <x:c r="I47" s="21" t="str">
        <x:v>MODEL CURRENT</x:v>
      </x:c>
      <x:c r="J47" s="21" t="str">
        <x:v>Edit this SelectOutput property; for 5-way sum weights=1</x:v>
      </x:c>
      <x:c r="K47" s="21" t="str"/>
    </x:row>
    <x:row r="48" ht="28" customHeight="1">
      <x:c r="A48" s="24" t="str">
        <x:v>selectOutput4</x:v>
      </x:c>
      <x:c r="B48" s="24" t="str">
        <x:v>SelectOutput</x:v>
      </x:c>
      <x:c r="C48" s="24" t="str">
        <x:v>probability</x:v>
      </x:c>
      <x:c r="D48" s="24" t="str">
        <x:v>outT</x:v>
      </x:c>
      <x:c r="E48" s="24" t="n">
        <x:v>0.83</x:v>
      </x:c>
      <x:c r="F48" s="26" t="n">
        <x:v>0.83</x:v>
      </x:c>
      <x:c r="G48" s="24" t="str">
        <x:v>seize2</x:v>
      </x:c>
      <x:c r="H48" s="24" t="str">
        <x:v>YES/TRUE</x:v>
      </x:c>
      <x:c r="I48" s="24" t="str">
        <x:v>MODEL CURRENT</x:v>
      </x:c>
      <x:c r="J48" s="24" t="str">
        <x:v>Edit this SelectOutput property; for 5-way sum weights=1</x:v>
      </x:c>
      <x:c r="K48" s="24" t="str"/>
    </x:row>
    <x:row r="49" ht="28" customHeight="1">
      <x:c r="A49" s="21" t="str">
        <x:v>selectOutput4</x:v>
      </x:c>
      <x:c r="B49" s="21" t="str">
        <x:v>SelectOutput</x:v>
      </x:c>
      <x:c r="C49" s="21" t="str">
        <x:v>probability</x:v>
      </x:c>
      <x:c r="D49" s="21" t="str">
        <x:v>outF</x:v>
      </x:c>
      <x:c r="E49" s="21" t="n">
        <x:v>0.17000000000000004</x:v>
      </x:c>
      <x:c r="F49" s="26" t="n">
        <x:f>1-F48</x:f>
        <x:v>0.17000000000000004</x:v>
      </x:c>
      <x:c r="G49" s="21" t="str">
        <x:v>sink5</x:v>
      </x:c>
      <x:c r="H49" s="21" t="str">
        <x:v>NO/FALSE</x:v>
      </x:c>
      <x:c r="I49" s="21" t="str">
        <x:v>MODEL CURRENT</x:v>
      </x:c>
      <x:c r="J49" s="21" t="str">
        <x:v>Edit this SelectOutput property; for 5-way sum weights=1</x:v>
      </x:c>
      <x:c r="K49" s="21" t="str"/>
    </x:row>
    <x:row r="50" ht="28" customHeight="1">
      <x:c r="A50" s="24" t="str">
        <x:v>selectOutput12</x:v>
      </x:c>
      <x:c r="B50" s="24" t="str">
        <x:v>SelectOutput5</x:v>
      </x:c>
      <x:c r="C50" s="24" t="str">
        <x:v>self.TYPE_CONDITIONS</x:v>
      </x:c>
      <x:c r="D50" s="24" t="str">
        <x:v>out1</x:v>
      </x:c>
      <x:c r="E50" s="24" t="str">
        <x:v>agent.slot == 0</x:v>
      </x:c>
      <x:c r="F50" s="26" t="str">
        <x:v>agent.slot == 0</x:v>
      </x:c>
      <x:c r="G50" s="24" t="str">
        <x:v>carMoveTo_R6</x:v>
      </x:c>
      <x:c r="H50" s="24" t="str">
        <x:v>TRUE condition / catchall</x:v>
      </x:c>
      <x:c r="I50" s="24" t="str">
        <x:v>MODEL CURRENT</x:v>
      </x:c>
      <x:c r="J50" s="24" t="str">
        <x:v>Edit this SelectOutput property; for 5-way sum weights=1</x:v>
      </x:c>
      <x:c r="K50" s="24" t="str">
        <x:v>Conditional expressions are not probabilities</x:v>
      </x:c>
    </x:row>
    <x:row r="51" ht="28" customHeight="1">
      <x:c r="A51" s="21" t="str">
        <x:v>selectOutput12</x:v>
      </x:c>
      <x:c r="B51" s="21" t="str">
        <x:v>SelectOutput5</x:v>
      </x:c>
      <x:c r="C51" s="21" t="str">
        <x:v>self.TYPE_CONDITIONS</x:v>
      </x:c>
      <x:c r="D51" s="21" t="str">
        <x:v>out2</x:v>
      </x:c>
      <x:c r="E51" s="21" t="str">
        <x:v>agent.slot == 1</x:v>
      </x:c>
      <x:c r="F51" s="26" t="str">
        <x:v>agent.slot == 1</x:v>
      </x:c>
      <x:c r="G51" s="21" t="str">
        <x:v>carMoveTo_R7</x:v>
      </x:c>
      <x:c r="H51" s="21" t="str">
        <x:v>TRUE condition / catchall</x:v>
      </x:c>
      <x:c r="I51" s="21" t="str">
        <x:v>MODEL CURRENT</x:v>
      </x:c>
      <x:c r="J51" s="21" t="str">
        <x:v>Edit this SelectOutput property; for 5-way sum weights=1</x:v>
      </x:c>
      <x:c r="K51" s="21" t="str">
        <x:v>Conditional expressions are not probabilities</x:v>
      </x:c>
    </x:row>
    <x:row r="52" ht="28" customHeight="1">
      <x:c r="A52" s="24" t="str">
        <x:v>selectOutput12</x:v>
      </x:c>
      <x:c r="B52" s="24" t="str">
        <x:v>SelectOutput5</x:v>
      </x:c>
      <x:c r="C52" s="24" t="str">
        <x:v>self.TYPE_CONDITIONS</x:v>
      </x:c>
      <x:c r="D52" s="24" t="str">
        <x:v>out3</x:v>
      </x:c>
      <x:c r="E52" s="24" t="str">
        <x:v>agent.slot == 2</x:v>
      </x:c>
      <x:c r="F52" s="26" t="str">
        <x:v>agent.slot == 2</x:v>
      </x:c>
      <x:c r="G52" s="24" t="str">
        <x:v>carMoveTo_R8</x:v>
      </x:c>
      <x:c r="H52" s="24" t="str">
        <x:v>TRUE condition / catchall</x:v>
      </x:c>
      <x:c r="I52" s="24" t="str">
        <x:v>MODEL CURRENT</x:v>
      </x:c>
      <x:c r="J52" s="24" t="str">
        <x:v>Edit this SelectOutput property; for 5-way sum weights=1</x:v>
      </x:c>
      <x:c r="K52" s="24" t="str">
        <x:v>Conditional expressions are not probabilities</x:v>
      </x:c>
    </x:row>
    <x:row r="53" ht="28" customHeight="1">
      <x:c r="A53" s="21" t="str">
        <x:v>selectOutput12</x:v>
      </x:c>
      <x:c r="B53" s="21" t="str">
        <x:v>SelectOutput5</x:v>
      </x:c>
      <x:c r="C53" s="21" t="str">
        <x:v>self.TYPE_CONDITIONS</x:v>
      </x:c>
      <x:c r="D53" s="21" t="str">
        <x:v>out4</x:v>
      </x:c>
      <x:c r="E53" s="21" t="str">
        <x:v>agent.slot == 3</x:v>
      </x:c>
      <x:c r="F53" s="26" t="str">
        <x:v>agent.slot == 3</x:v>
      </x:c>
      <x:c r="G53" s="21" t="str">
        <x:v>carMoveTo_R9</x:v>
      </x:c>
      <x:c r="H53" s="21" t="str">
        <x:v>TRUE condition / catchall</x:v>
      </x:c>
      <x:c r="I53" s="21" t="str">
        <x:v>MODEL CURRENT</x:v>
      </x:c>
      <x:c r="J53" s="21" t="str">
        <x:v>Edit this SelectOutput property; for 5-way sum weights=1</x:v>
      </x:c>
      <x:c r="K53" s="21" t="str">
        <x:v>Conditional expressions are not probabilities</x:v>
      </x:c>
    </x:row>
    <x:row r="54" ht="28" customHeight="1">
      <x:c r="A54" s="24" t="str">
        <x:v>selectOutput12</x:v>
      </x:c>
      <x:c r="B54" s="24" t="str">
        <x:v>SelectOutput5</x:v>
      </x:c>
      <x:c r="C54" s="24" t="str">
        <x:v>self.TYPE_CONDITIONS</x:v>
      </x:c>
      <x:c r="D54" s="24" t="str">
        <x:v>out5</x:v>
      </x:c>
      <x:c r="E54" s="24" t="str">
        <x:v>else</x:v>
      </x:c>
      <x:c r="F54" s="26" t="str">
        <x:v>else</x:v>
      </x:c>
      <x:c r="G54" s="24" t="str">
        <x:v>carMoveTo_R10</x:v>
      </x:c>
      <x:c r="H54" s="24" t="str">
        <x:v>TRUE condition / catchall</x:v>
      </x:c>
      <x:c r="I54" s="24" t="str">
        <x:v>MODEL CURRENT</x:v>
      </x:c>
      <x:c r="J54" s="24" t="str">
        <x:v>Edit this SelectOutput property; for 5-way sum weights=1</x:v>
      </x:c>
      <x:c r="K54" s="24" t="str">
        <x:v>Conditional expressions are not probabilities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8" hidden="0" customWidth="1"/>
    <x:col min="4" max="4" width="75" hidden="0" customWidth="1"/>
    <x:col min="5" max="5" width="54" hidden="0" customWidth="1"/>
    <x:col min="6" max="6" width="16" hidden="0" customWidth="1"/>
    <x:col min="7" max="7" width="17" hidden="0" customWidth="1"/>
    <x:col min="8" max="8" width="47" hidden="0" customWidth="1"/>
    <x:col min="9" max="9" width="65" hidden="0" customWidth="1"/>
  </x:cols>
  <x:sheetData>
    <x:row r="1" ht="22" customHeight="1">
      <x:c r="A1" s="4" t="str">
        <x:v>05  •  SIGNAL / EVENTS / TIME SETUP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9" t="str">
        <x:v>The latest .alp has one trafficLight object. Signal durations are distributions, and crossing event currently only releases the first gate.</x:v>
      </x:c>
      <x:c r="B3" s="9"/>
      <x:c r="C3" s="9"/>
      <x:c r="D3" s="9"/>
      <x:c r="E3" s="9"/>
      <x:c r="F3" s="9"/>
      <x:c r="G3" s="9"/>
      <x:c r="H3" s="9"/>
      <x:c r="I3" s="9"/>
    </x:row>
    <x:row r="4" ht="34" customHeight="1">
      <x:c r="A4" s="15" t="str">
        <x:v>AnyLogic object</x:v>
      </x:c>
      <x:c r="B4" s="15" t="str">
        <x:v>Layer</x:v>
      </x:c>
      <x:c r="C4" s="15" t="str">
        <x:v>Parameter / field</x:v>
      </x:c>
      <x:c r="D4" s="15" t="str">
        <x:v>Current in .alp</x:v>
      </x:c>
      <x:c r="E4" s="15" t="str">
        <x:v>Scenario suggestion</x:v>
      </x:c>
      <x:c r="F4" s="15" t="str">
        <x:v>Unit</x:v>
      </x:c>
      <x:c r="G4" s="15" t="str">
        <x:v>State</x:v>
      </x:c>
      <x:c r="H4" s="15" t="str">
        <x:v>Edit path</x:v>
      </x:c>
      <x:c r="I4" s="15" t="str">
        <x:v>Technical note</x:v>
      </x:c>
    </x:row>
    <x:row r="5" ht="23" customHeight="1">
      <x:c r="A5" s="21" t="str">
        <x:v>trafficLight</x:v>
      </x:c>
      <x:c r="B5" s="21" t="str">
        <x:v>Main/linked stoplines</x:v>
      </x:c>
      <x:c r="C5" s="21" t="str">
        <x:v>Pedestrian phase / RED</x:v>
      </x:c>
      <x:c r="D5" s="21" t="str">
        <x:v>triangular(0.20, 7.96, 22.68)</x:v>
      </x:c>
      <x:c r="E5" s="26" t="str">
        <x:v>triangular(0.20, 7.96, 22.68)</x:v>
      </x:c>
      <x:c r="F5" s="21" t="str">
        <x:v>seconds</x:v>
      </x:c>
      <x:c r="G5" s="21" t="str">
        <x:v>CURRENT</x:v>
      </x:c>
      <x:c r="H5" s="21" t="str">
        <x:v>TrafficLight → phase duration</x:v>
      </x:c>
      <x:c r="I5" s="21" t="str">
        <x:v>Triangular(a, mode, b); order and meaning of phases verify visually</x:v>
      </x:c>
    </x:row>
    <x:row r="6" ht="23" customHeight="1">
      <x:c r="A6" s="24" t="str">
        <x:v>trafficLight</x:v>
      </x:c>
      <x:c r="B6" s="24" t="str">
        <x:v>Main/linked stoplines</x:v>
      </x:c>
      <x:c r="C6" s="24" t="str">
        <x:v>Vehicle phase / GREEN</x:v>
      </x:c>
      <x:c r="D6" s="24" t="str">
        <x:v>triangular(2.00, 18.65, 66.55)</x:v>
      </x:c>
      <x:c r="E6" s="26" t="str">
        <x:v>triangular(2.00, 18.65, 66.55)</x:v>
      </x:c>
      <x:c r="F6" s="24" t="str">
        <x:v>seconds</x:v>
      </x:c>
      <x:c r="G6" s="24" t="str">
        <x:v>CURRENT</x:v>
      </x:c>
      <x:c r="H6" s="24" t="str">
        <x:v>TrafficLight → phase duration</x:v>
      </x:c>
      <x:c r="I6" s="24" t="str">
        <x:v>Cycle counted on Crossroad RED</x:v>
      </x:c>
    </x:row>
    <x:row r="7" ht="23" customHeight="1">
      <x:c r="A7" s="21" t="str">
        <x:v>trafficLight</x:v>
      </x:c>
      <x:c r="B7" s="21" t="str">
        <x:v>Signal markup</x:v>
      </x:c>
      <x:c r="C7" s="21" t="str">
        <x:v>Attached stoplines</x:v>
      </x:c>
      <x:c r="D7" s="21" t="str">
        <x:v>1787207574165,1792046345466</x:v>
      </x:c>
      <x:c r="E7" s="26" t="str"/>
      <x:c r="F7" s="21" t="str">
        <x:v>IDs</x:v>
      </x:c>
      <x:c r="G7" s="21" t="str">
        <x:v>CURRENT</x:v>
      </x:c>
      <x:c r="H7" s="21" t="str">
        <x:v>TrafficLight → Stoplines</x:v>
      </x:c>
      <x:c r="I7" s="21" t="str">
        <x:v>2 lines and 4 state entries in file; verify mapping to both zebras</x:v>
      </x:c>
    </x:row>
    <x:row r="8" ht="55" customHeight="1">
      <x:c r="A8" s="24" t="str">
        <x:v>trafficLight</x:v>
      </x:c>
      <x:c r="B8" s="24" t="str">
        <x:v>Controller</x:v>
      </x:c>
      <x:c r="C8" s="24" t="str">
        <x:v>OnPhaseChange</x:v>
      </x:c>
      <x:c r="D8" s="24" t="str">
        <x:v>if (Crossroad.getSignal() == SIGNAL_RED) {
    crossingCount++;
}</x:v>
      </x:c>
      <x:c r="E8" s="26" t="str"/>
      <x:c r="F8" s="24" t="str">
        <x:v>Java</x:v>
      </x:c>
      <x:c r="G8" s="24" t="str">
        <x:v>CURRENT</x:v>
      </x:c>
      <x:c r="H8" s="24" t="str">
        <x:v>TrafficLight → On phase change</x:v>
      </x:c>
      <x:c r="I8" s="24" t="str">
        <x:v>crossingCount only triggered when Crossroad RED</x:v>
      </x:c>
    </x:row>
    <x:row r="9" ht="23" customHeight="1">
      <x:c r="A9" s="21" t="str">
        <x:v>pedReleaseCheck</x:v>
      </x:c>
      <x:c r="B9" s="21" t="str">
        <x:v>Event</x:v>
      </x:c>
      <x:c r="C9" s="21" t="str">
        <x:v>Recurrence period</x:v>
      </x:c>
      <x:c r="D9" s="21" t="str">
        <x:v>0.2</x:v>
      </x:c>
      <x:c r="E9" s="26" t="str">
        <x:v>0.2</x:v>
      </x:c>
      <x:c r="F9" s="21" t="str">
        <x:v>seconds</x:v>
      </x:c>
      <x:c r="G9" s="21" t="str">
        <x:v>CURRENT</x:v>
      </x:c>
      <x:c r="H9" s="21" t="str">
        <x:v>Event pedReleaseCheck → recurrence</x:v>
      </x:c>
      <x:c r="I9" s="21" t="str">
        <x:v>Reads Crossroad signal RED; releases pedWait only</x:v>
      </x:c>
    </x:row>
    <x:row r="10" ht="23" customHeight="1">
      <x:c r="A10" s="24" t="str">
        <x:v>pedReleaseCheck</x:v>
      </x:c>
      <x:c r="B10" s="24" t="str">
        <x:v>Event</x:v>
      </x:c>
      <x:c r="C10" s="24" t="str">
        <x:v>Action</x:v>
      </x:c>
      <x:c r="D10" s="24" t="str">
        <x:v>if (Crossroad.getSignal() == SIGNAL_RED &amp;&amp; pedWait.size() &gt; 0) {
    pedWait.freeAllWaitingPeds();
}</x:v>
      </x:c>
      <x:c r="E10" s="26" t="str"/>
      <x:c r="F10" s="24" t="str">
        <x:v>Java</x:v>
      </x:c>
      <x:c r="G10" s="24" t="str">
        <x:v>CURRENT</x:v>
      </x:c>
      <x:c r="H10" s="24" t="str">
        <x:v>Event pedReleaseCheck → Action</x:v>
      </x:c>
      <x:c r="I10" s="24" t="str">
        <x:v>No pedWait1 second entrance in this code</x:v>
      </x:c>
    </x:row>
    <x:row r="11" ht="23" customHeight="1">
      <x:c r="A11" s="21" t="str">
        <x:v>releasePedestrians</x:v>
      </x:c>
      <x:c r="B11" s="21" t="str">
        <x:v>Event (excluded)</x:v>
      </x:c>
      <x:c r="C11" s="21" t="str">
        <x:v>Action</x:v>
      </x:c>
      <x:c r="D11" s="21" t="str">
        <x:v>if (Crossroad.getSignal() == SIGNAL_RED) {
    pedWait.freeAllWaitingPeds();
}</x:v>
      </x:c>
      <x:c r="E11" s="26" t="str"/>
      <x:c r="F11" s="21" t="str">
        <x:v>Java</x:v>
      </x:c>
      <x:c r="G11" s="21" t="str">
        <x:v>EXCLUDED</x:v>
      </x:c>
      <x:c r="H11" s="21" t="str">
        <x:v>Event releasePedestrians</x:v>
      </x:c>
      <x:c r="I11" s="21" t="str">
        <x:v>ExcludeFromBuild=true; not active</x:v>
      </x:c>
    </x:row>
    <x:row r="12" ht="23" customHeight="1">
      <x:c r="A12" s="24" t="str">
        <x:v>Main</x:v>
      </x:c>
      <x:c r="B12" s="24" t="str">
        <x:v>Experiment</x:v>
      </x:c>
      <x:c r="C12" s="24" t="str">
        <x:v>Model time unit</x:v>
      </x:c>
      <x:c r="D12" s="24" t="str">
        <x:v>Second</x:v>
      </x:c>
      <x:c r="E12" s="26" t="str">
        <x:v>Second</x:v>
      </x:c>
      <x:c r="F12" s="24" t="str">
        <x:v>unit</x:v>
      </x:c>
      <x:c r="G12" s="24" t="str">
        <x:v>CURRENT</x:v>
      </x:c>
      <x:c r="H12" s="24" t="str">
        <x:v>Model → time settings</x:v>
      </x:c>
      <x:c r="I12" s="24" t="str">
        <x:v>Simulation model time seconds</x:v>
      </x:c>
    </x:row>
    <x:row r="13" ht="23" customHeight="1">
      <x:c r="A13" s="21" t="str">
        <x:v>Simulation</x:v>
      </x:c>
      <x:c r="B13" s="21" t="str">
        <x:v>Experiment</x:v>
      </x:c>
      <x:c r="C13" s="21" t="str">
        <x:v>InitialTime</x:v>
      </x:c>
      <x:c r="D13" s="21" t="str">
        <x:v>0.0</x:v>
      </x:c>
      <x:c r="E13" s="26" t="str">
        <x:v>0</x:v>
      </x:c>
      <x:c r="F13" s="21" t="str">
        <x:v>second</x:v>
      </x:c>
      <x:c r="G13" s="21" t="str">
        <x:v>CURRENT</x:v>
      </x:c>
      <x:c r="H13" s="21" t="str">
        <x:v>Simulation → Model time properties</x:v>
      </x:c>
      <x:c r="I13" s="21" t="str">
        <x:v>06:30 clock schedule assumes initial day starts at 06:30</x:v>
      </x:c>
    </x:row>
    <x:row r="14" ht="23" customHeight="1">
      <x:c r="A14" s="24" t="str">
        <x:v>Simulation</x:v>
      </x:c>
      <x:c r="B14" s="24" t="str">
        <x:v>Experiment</x:v>
      </x:c>
      <x:c r="C14" s="24" t="str">
        <x:v>FinalTime</x:v>
      </x:c>
      <x:c r="D14" s="24" t="str">
        <x:v>100.0</x:v>
      </x:c>
      <x:c r="E14" s="26" t="str">
        <x:v>100</x:v>
      </x:c>
      <x:c r="F14" s="24" t="str">
        <x:v>minute?</x:v>
      </x:c>
      <x:c r="G14" s="24" t="str">
        <x:v>CHECK</x:v>
      </x:c>
      <x:c r="H14" s="24" t="str">
        <x:v>Simulation → Model time properties</x:v>
      </x:c>
      <x:c r="I14" s="24" t="str">
        <x:v>StopOption currently Never; cannot assume 100-min stop is enabled</x:v>
      </x:c>
    </x:row>
    <x:row r="15" ht="23" customHeight="1">
      <x:c r="A15" s="21" t="str">
        <x:v>Simulation</x:v>
      </x:c>
      <x:c r="B15" s="21" t="str">
        <x:v>Experiment</x:v>
      </x:c>
      <x:c r="C15" s="21" t="str">
        <x:v>StopOption</x:v>
      </x:c>
      <x:c r="D15" s="21" t="str">
        <x:v>Never</x:v>
      </x:c>
      <x:c r="E15" s="26" t="str">
        <x:v>Specified stop after 100min</x:v>
      </x:c>
      <x:c r="F15" s="21" t="str">
        <x:v>enum</x:v>
      </x:c>
      <x:c r="G15" s="21" t="str">
        <x:v>CHECK</x:v>
      </x:c>
      <x:c r="H15" s="21" t="str">
        <x:v>Simulation → Model time properties</x:v>
      </x:c>
      <x:c r="I15" s="21" t="str">
        <x:v>Need verify actual experiment stops at 6000 model seconds</x:v>
      </x:c>
    </x:row>
    <x:row r="16" ht="23" customHeight="1">
      <x:c r="A16" s="24" t="str">
        <x:v>Simulation</x:v>
      </x:c>
      <x:c r="B16" s="24" t="str">
        <x:v>Experiment</x:v>
      </x:c>
      <x:c r="C16" s="24" t="str">
        <x:v>Random seed</x:v>
      </x:c>
      <x:c r="D16" s="24" t="str">
        <x:v>1</x:v>
      </x:c>
      <x:c r="E16" s="26" t="str">
        <x:v>1</x:v>
      </x:c>
      <x:c r="F16" s="24" t="str">
        <x:v>fixed seed</x:v>
      </x:c>
      <x:c r="G16" s="24" t="str">
        <x:v>CURRENT</x:v>
      </x:c>
      <x:c r="H16" s="24" t="str">
        <x:v>Simulation → Random number generation</x:v>
      </x:c>
      <x:c r="I16" s="24" t="str">
        <x:v>For comparisons run multiple seeds/replications</x:v>
      </x:c>
    </x:row>
    <x:row r="17" ht="23" customHeight="1">
      <x:c r="A17" s="21" t="str">
        <x:v>Main</x:v>
      </x:c>
      <x:c r="B17" s="21" t="str">
        <x:v>KPI</x:v>
      </x:c>
      <x:c r="C17" s="21" t="str">
        <x:v>Average ped wait formula</x:v>
      </x:c>
      <x:c r="D17" s="21" t="str">
        <x:v>if (measuredPedCount == 0) {
    return 0;
}
return totalPedWait / measuredPedCount;</x:v>
      </x:c>
      <x:c r="E17" s="26" t="str"/>
      <x:c r="F17" s="21" t="str">
        <x:v>Java</x:v>
      </x:c>
      <x:c r="G17" s="21" t="str">
        <x:v>CURRENT</x:v>
      </x:c>
      <x:c r="H17" s="21" t="str">
        <x:v>Function avgPedWait()</x:v>
      </x:c>
      <x:c r="I17" s="21" t="str">
        <x:v>Aggregates both entrance pedestrians; split per crossing for KPI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5" hidden="0" customWidth="1"/>
    <x:col min="4" max="4" width="70" hidden="0" customWidth="1"/>
    <x:col min="5" max="5" width="70" hidden="0" customWidth="1"/>
    <x:col min="6" max="6" width="19" hidden="0" customWidth="1"/>
    <x:col min="7" max="7" width="14" hidden="0" customWidth="1"/>
    <x:col min="8" max="8" width="55" hidden="0" customWidth="1"/>
    <x:col min="9" max="9" width="69" hidden="0" customWidth="1"/>
  </x:cols>
  <x:sheetData>
    <x:row r="1" ht="22" customHeight="1">
      <x:c r="A1" s="4" t="str">
        <x:v>06  •  DROPOFF CAPACITY &amp; LOGIC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9" t="str">
        <x:v>Main entrance resources are 5 per pool; second entrance also has 5 per pool in file. Some code still shares first entrance slot arrays and seize reference.</x:v>
      </x:c>
      <x:c r="B3" s="9"/>
      <x:c r="C3" s="9"/>
      <x:c r="D3" s="9"/>
      <x:c r="E3" s="9"/>
      <x:c r="F3" s="9"/>
      <x:c r="G3" s="9"/>
      <x:c r="H3" s="9"/>
      <x:c r="I3" s="9"/>
    </x:row>
    <x:row r="4" ht="34" customHeight="1">
      <x:c r="A4" s="15" t="str">
        <x:v>AnyLogic name</x:v>
      </x:c>
      <x:c r="B4" s="15" t="str">
        <x:v>Type</x:v>
      </x:c>
      <x:c r="C4" s="15" t="str">
        <x:v>Property</x:v>
      </x:c>
      <x:c r="D4" s="15" t="str">
        <x:v>Snapshot value/code</x:v>
      </x:c>
      <x:c r="E4" s="15" t="str">
        <x:v>Scenario EDIT</x:v>
      </x:c>
      <x:c r="F4" s="15" t="str">
        <x:v>Units / type</x:v>
      </x:c>
      <x:c r="G4" s="15" t="str">
        <x:v>Status</x:v>
      </x:c>
      <x:c r="H4" s="15" t="str">
        <x:v>Where to edit</x:v>
      </x:c>
      <x:c r="I4" s="15" t="str">
        <x:v>Warnings</x:v>
      </x:c>
    </x:row>
    <x:row r="5" ht="23" customHeight="1">
      <x:c r="A5" s="21" t="str">
        <x:v>curbSpots_L</x:v>
      </x:c>
      <x:c r="B5" s="21" t="str">
        <x:v>ResourcePool</x:v>
      </x:c>
      <x:c r="C5" s="21" t="str">
        <x:v>capacity</x:v>
      </x:c>
      <x:c r="D5" s="21" t="str">
        <x:v>5</x:v>
      </x:c>
      <x:c r="E5" s="26" t="str">
        <x:v>5</x:v>
      </x:c>
      <x:c r="F5" s="21" t="str"/>
      <x:c r="G5" s="21" t="str">
        <x:v>MODEL</x:v>
      </x:c>
      <x:c r="H5" s="21" t="str">
        <x:v>Check live source / adjust Scenario column</x:v>
      </x:c>
      <x:c r="I5" s="21" t="str"/>
    </x:row>
    <x:row r="6" ht="23" customHeight="1">
      <x:c r="A6" s="24" t="str">
        <x:v>curbSpots_R</x:v>
      </x:c>
      <x:c r="B6" s="24" t="str">
        <x:v>ResourcePool</x:v>
      </x:c>
      <x:c r="C6" s="24" t="str">
        <x:v>capacity</x:v>
      </x:c>
      <x:c r="D6" s="24" t="str">
        <x:v>5</x:v>
      </x:c>
      <x:c r="E6" s="26" t="str">
        <x:v>5</x:v>
      </x:c>
      <x:c r="F6" s="24" t="str"/>
      <x:c r="G6" s="24" t="str">
        <x:v>MODEL</x:v>
      </x:c>
      <x:c r="H6" s="24" t="str">
        <x:v>Check live source / adjust Scenario column</x:v>
      </x:c>
      <x:c r="I6" s="24" t="str"/>
    </x:row>
    <x:row r="7" ht="23" customHeight="1">
      <x:c r="A7" s="21" t="str">
        <x:v>curbSpots2_L</x:v>
      </x:c>
      <x:c r="B7" s="21" t="str">
        <x:v>ResourcePool</x:v>
      </x:c>
      <x:c r="C7" s="21" t="str">
        <x:v>capacity</x:v>
      </x:c>
      <x:c r="D7" s="21" t="str">
        <x:v>5</x:v>
      </x:c>
      <x:c r="E7" s="26" t="str">
        <x:v>5</x:v>
      </x:c>
      <x:c r="F7" s="21" t="str"/>
      <x:c r="G7" s="21" t="str">
        <x:v>MODEL</x:v>
      </x:c>
      <x:c r="H7" s="21" t="str">
        <x:v>Check live source / adjust Scenario column</x:v>
      </x:c>
      <x:c r="I7" s="21" t="str"/>
    </x:row>
    <x:row r="8" ht="23" customHeight="1">
      <x:c r="A8" s="24" t="str">
        <x:v>curbSpots2_R</x:v>
      </x:c>
      <x:c r="B8" s="24" t="str">
        <x:v>ResourcePool</x:v>
      </x:c>
      <x:c r="C8" s="24" t="str">
        <x:v>capacity</x:v>
      </x:c>
      <x:c r="D8" s="24" t="str">
        <x:v>5</x:v>
      </x:c>
      <x:c r="E8" s="26" t="str">
        <x:v>5</x:v>
      </x:c>
      <x:c r="F8" s="24" t="str"/>
      <x:c r="G8" s="24" t="str">
        <x:v>MODEL</x:v>
      </x:c>
      <x:c r="H8" s="24" t="str">
        <x:v>Check live source / adjust Scenario column</x:v>
      </x:c>
      <x:c r="I8" s="24" t="str"/>
    </x:row>
    <x:row r="9" ht="23" customHeight="1">
      <x:c r="A9" s="21" t="str">
        <x:v>delay</x:v>
      </x:c>
      <x:c r="B9" s="21" t="str">
        <x:v>Delay</x:v>
      </x:c>
      <x:c r="C9" s="21" t="str">
        <x:v>capacity</x:v>
      </x:c>
      <x:c r="D9" s="21" t="str">
        <x:v>5</x:v>
      </x:c>
      <x:c r="E9" s="26" t="str">
        <x:v>5</x:v>
      </x:c>
      <x:c r="F9" s="21" t="str"/>
      <x:c r="G9" s="21" t="str">
        <x:v>MODEL</x:v>
      </x:c>
      <x:c r="H9" s="21" t="str">
        <x:v>Check live source / adjust Scenario column</x:v>
      </x:c>
      <x:c r="I9" s="21" t="str"/>
    </x:row>
    <x:row r="10" ht="23" customHeight="1">
      <x:c r="A10" s="24" t="str">
        <x:v>delay</x:v>
      </x:c>
      <x:c r="B10" s="24" t="str">
        <x:v>Delay</x:v>
      </x:c>
      <x:c r="C10" s="24" t="str">
        <x:v>delayTime</x:v>
      </x:c>
      <x:c r="D10" s="24" t="str">
        <x:v>triangular(1.40, 2.55, 7.68)</x:v>
      </x:c>
      <x:c r="E10" s="26" t="str">
        <x:v>triangular(1.40, 2.55, 7.68)</x:v>
      </x:c>
      <x:c r="F10" s="24" t="str">
        <x:v>SECOND</x:v>
      </x:c>
      <x:c r="G10" s="24" t="str">
        <x:v>MODEL</x:v>
      </x:c>
      <x:c r="H10" s="24" t="str">
        <x:v>Check live source / adjust Scenario column</x:v>
      </x:c>
      <x:c r="I10" s="24" t="str"/>
    </x:row>
    <x:row r="11" ht="23" customHeight="1">
      <x:c r="A11" s="21" t="str">
        <x:v>delay</x:v>
      </x:c>
      <x:c r="B11" s="21" t="str">
        <x:v>Delay</x:v>
      </x:c>
      <x:c r="C11" s="21" t="str">
        <x:v>onEnter</x:v>
      </x:c>
      <x:c r="D11" s="21" t="str">
        <x:v>agent.dropoffColor = Color.RED;</x:v>
      </x:c>
      <x:c r="E11" s="26" t="str">
        <x:v>agent.dropoffColor = Color.RED;</x:v>
      </x:c>
      <x:c r="F11" s="21" t="str"/>
      <x:c r="G11" s="21" t="str">
        <x:v>MODEL</x:v>
      </x:c>
      <x:c r="H11" s="21" t="str">
        <x:v>Check live source / adjust Scenario column</x:v>
      </x:c>
      <x:c r="I11" s="21" t="str"/>
    </x:row>
    <x:row r="12" ht="23" customHeight="1">
      <x:c r="A12" s="24" t="str">
        <x:v>delay</x:v>
      </x:c>
      <x:c r="B12" s="24" t="str">
        <x:v>Delay</x:v>
      </x:c>
      <x:c r="C12" s="24" t="str">
        <x:v>onExit</x:v>
      </x:c>
      <x:c r="D12" s="24" t="str">
        <x:v>agent.dropoffColor = Color.WHITE;</x:v>
      </x:c>
      <x:c r="E12" s="26" t="str">
        <x:v>agent.dropoffColor = Color.WHITE;</x:v>
      </x:c>
      <x:c r="F12" s="24" t="str"/>
      <x:c r="G12" s="24" t="str">
        <x:v>MODEL</x:v>
      </x:c>
      <x:c r="H12" s="24" t="str">
        <x:v>Check live source / adjust Scenario column</x:v>
      </x:c>
      <x:c r="I12" s="24" t="str"/>
    </x:row>
    <x:row r="13" ht="23" customHeight="1">
      <x:c r="A13" s="21" t="str">
        <x:v>delay1</x:v>
      </x:c>
      <x:c r="B13" s="21" t="str">
        <x:v>Delay</x:v>
      </x:c>
      <x:c r="C13" s="21" t="str">
        <x:v>capacity</x:v>
      </x:c>
      <x:c r="D13" s="21" t="str">
        <x:v>5</x:v>
      </x:c>
      <x:c r="E13" s="26" t="str">
        <x:v>5</x:v>
      </x:c>
      <x:c r="F13" s="21" t="str"/>
      <x:c r="G13" s="21" t="str">
        <x:v>MODEL</x:v>
      </x:c>
      <x:c r="H13" s="21" t="str">
        <x:v>Check live source / adjust Scenario column</x:v>
      </x:c>
      <x:c r="I13" s="21" t="str"/>
    </x:row>
    <x:row r="14" ht="23" customHeight="1">
      <x:c r="A14" s="24" t="str">
        <x:v>delay1</x:v>
      </x:c>
      <x:c r="B14" s="24" t="str">
        <x:v>Delay</x:v>
      </x:c>
      <x:c r="C14" s="24" t="str">
        <x:v>delayTime</x:v>
      </x:c>
      <x:c r="D14" s="24" t="str">
        <x:v>triangular(2.10, 6.71, 27.35)</x:v>
      </x:c>
      <x:c r="E14" s="26" t="str">
        <x:v>triangular(2.10, 6.71, 27.35)</x:v>
      </x:c>
      <x:c r="F14" s="24" t="str">
        <x:v>SECOND</x:v>
      </x:c>
      <x:c r="G14" s="24" t="str">
        <x:v>MODEL</x:v>
      </x:c>
      <x:c r="H14" s="24" t="str">
        <x:v>Check live source / adjust Scenario column</x:v>
      </x:c>
      <x:c r="I14" s="24" t="str"/>
    </x:row>
    <x:row r="15" ht="23" customHeight="1">
      <x:c r="A15" s="21" t="str">
        <x:v>delay1</x:v>
      </x:c>
      <x:c r="B15" s="21" t="str">
        <x:v>Delay</x:v>
      </x:c>
      <x:c r="C15" s="21" t="str">
        <x:v>onEnter</x:v>
      </x:c>
      <x:c r="D15" s="21" t="str">
        <x:v>agent.dropoffColor = Color.RED;</x:v>
      </x:c>
      <x:c r="E15" s="26" t="str">
        <x:v>agent.dropoffColor = Color.RED;</x:v>
      </x:c>
      <x:c r="F15" s="21" t="str"/>
      <x:c r="G15" s="21" t="str">
        <x:v>MODEL</x:v>
      </x:c>
      <x:c r="H15" s="21" t="str">
        <x:v>Check live source / adjust Scenario column</x:v>
      </x:c>
      <x:c r="I15" s="21" t="str"/>
    </x:row>
    <x:row r="16" ht="23" customHeight="1">
      <x:c r="A16" s="24" t="str">
        <x:v>delay1</x:v>
      </x:c>
      <x:c r="B16" s="24" t="str">
        <x:v>Delay</x:v>
      </x:c>
      <x:c r="C16" s="24" t="str">
        <x:v>onExit</x:v>
      </x:c>
      <x:c r="D16" s="24" t="str">
        <x:v>agent.dropoffColor = Color.WHITE;</x:v>
      </x:c>
      <x:c r="E16" s="26" t="str">
        <x:v>agent.dropoffColor = Color.WHITE;</x:v>
      </x:c>
      <x:c r="F16" s="24" t="str"/>
      <x:c r="G16" s="24" t="str">
        <x:v>MODEL</x:v>
      </x:c>
      <x:c r="H16" s="24" t="str">
        <x:v>Check live source / adjust Scenario column</x:v>
      </x:c>
      <x:c r="I16" s="24" t="str"/>
    </x:row>
    <x:row r="17" ht="23" customHeight="1">
      <x:c r="A17" s="21" t="str">
        <x:v>delay2</x:v>
      </x:c>
      <x:c r="B17" s="21" t="str">
        <x:v>Delay</x:v>
      </x:c>
      <x:c r="C17" s="21" t="str">
        <x:v>capacity</x:v>
      </x:c>
      <x:c r="D17" s="21" t="str">
        <x:v>5</x:v>
      </x:c>
      <x:c r="E17" s="26" t="str">
        <x:v>5</x:v>
      </x:c>
      <x:c r="F17" s="21" t="str"/>
      <x:c r="G17" s="21" t="str">
        <x:v>MODEL</x:v>
      </x:c>
      <x:c r="H17" s="21" t="str">
        <x:v>Check live source / adjust Scenario column</x:v>
      </x:c>
      <x:c r="I17" s="21" t="str"/>
    </x:row>
    <x:row r="18" ht="23" customHeight="1">
      <x:c r="A18" s="24" t="str">
        <x:v>delay2</x:v>
      </x:c>
      <x:c r="B18" s="24" t="str">
        <x:v>Delay</x:v>
      </x:c>
      <x:c r="C18" s="24" t="str">
        <x:v>delayTime</x:v>
      </x:c>
      <x:c r="D18" s="24" t="str">
        <x:v>triangular(2.10, 6.71, 27.35)</x:v>
      </x:c>
      <x:c r="E18" s="26" t="str">
        <x:v>triangular(2.10, 6.71, 27.35)</x:v>
      </x:c>
      <x:c r="F18" s="24" t="str">
        <x:v>SECOND</x:v>
      </x:c>
      <x:c r="G18" s="24" t="str">
        <x:v>MODEL</x:v>
      </x:c>
      <x:c r="H18" s="24" t="str">
        <x:v>Check live source / adjust Scenario column</x:v>
      </x:c>
      <x:c r="I18" s="24" t="str"/>
    </x:row>
    <x:row r="19" ht="23" customHeight="1">
      <x:c r="A19" s="21" t="str">
        <x:v>delay2</x:v>
      </x:c>
      <x:c r="B19" s="21" t="str">
        <x:v>Delay</x:v>
      </x:c>
      <x:c r="C19" s="21" t="str">
        <x:v>onEnter</x:v>
      </x:c>
      <x:c r="D19" s="21" t="str">
        <x:v>agent.dropoffColor = Color.RED;</x:v>
      </x:c>
      <x:c r="E19" s="26" t="str">
        <x:v>agent.dropoffColor = Color.RED;</x:v>
      </x:c>
      <x:c r="F19" s="21" t="str"/>
      <x:c r="G19" s="21" t="str">
        <x:v>MODEL</x:v>
      </x:c>
      <x:c r="H19" s="21" t="str">
        <x:v>Check live source / adjust Scenario column</x:v>
      </x:c>
      <x:c r="I19" s="21" t="str"/>
    </x:row>
    <x:row r="20" ht="23" customHeight="1">
      <x:c r="A20" s="24" t="str">
        <x:v>delay2</x:v>
      </x:c>
      <x:c r="B20" s="24" t="str">
        <x:v>Delay</x:v>
      </x:c>
      <x:c r="C20" s="24" t="str">
        <x:v>onExit</x:v>
      </x:c>
      <x:c r="D20" s="24" t="str">
        <x:v>agent.dropoffColor = Color.WHITE;</x:v>
      </x:c>
      <x:c r="E20" s="26" t="str">
        <x:v>agent.dropoffColor = Color.WHITE;</x:v>
      </x:c>
      <x:c r="F20" s="24" t="str"/>
      <x:c r="G20" s="24" t="str">
        <x:v>MODEL</x:v>
      </x:c>
      <x:c r="H20" s="24" t="str">
        <x:v>Check live source / adjust Scenario column</x:v>
      </x:c>
      <x:c r="I20" s="24" t="str"/>
    </x:row>
    <x:row r="21" ht="23" customHeight="1">
      <x:c r="A21" s="21" t="str">
        <x:v>rightFree</x:v>
      </x:c>
      <x:c r="B21" s="21" t="str">
        <x:v>Variable</x:v>
      </x:c>
      <x:c r="C21" s="21" t="str">
        <x:v>Initial value</x:v>
      </x:c>
      <x:c r="D21" s="21" t="str">
        <x:v>{true,true,true,true,true}</x:v>
      </x:c>
      <x:c r="E21" s="26" t="str">
        <x:v>{true,true,true,true,true}</x:v>
      </x:c>
      <x:c r="F21" s="21" t="str">
        <x:v>Boolean array</x:v>
      </x:c>
      <x:c r="G21" s="21" t="str">
        <x:v>MODEL</x:v>
      </x:c>
      <x:c r="H21" s="21" t="str">
        <x:v>Main variable initial value</x:v>
      </x:c>
      <x:c r="I21" s="21" t="str">
        <x:v>Second entrance slot array must be independent if separately managed</x:v>
      </x:c>
    </x:row>
    <x:row r="22" ht="23" customHeight="1">
      <x:c r="A22" s="24" t="str">
        <x:v>leftFree</x:v>
      </x:c>
      <x:c r="B22" s="24" t="str">
        <x:v>Variable</x:v>
      </x:c>
      <x:c r="C22" s="24" t="str">
        <x:v>Initial value</x:v>
      </x:c>
      <x:c r="D22" s="24" t="str">
        <x:v>{true,true,true,true,true}</x:v>
      </x:c>
      <x:c r="E22" s="26" t="str">
        <x:v>{true,true,true,true,true}</x:v>
      </x:c>
      <x:c r="F22" s="24" t="str">
        <x:v>Boolean array</x:v>
      </x:c>
      <x:c r="G22" s="24" t="str">
        <x:v>MODEL</x:v>
      </x:c>
      <x:c r="H22" s="24" t="str">
        <x:v>Main variable initial value</x:v>
      </x:c>
      <x:c r="I22" s="24" t="str">
        <x:v>Second entrance slot array must be independent if separately managed</x:v>
      </x:c>
    </x:row>
    <x:row r="23" ht="23" customHeight="1">
      <x:c r="A23" s="21" t="str">
        <x:v>seize</x:v>
      </x:c>
      <x:c r="B23" s="21" t="str">
        <x:v>Seize</x:v>
      </x:c>
      <x:c r="C23" s="21" t="str">
        <x:v>resourceSets</x:v>
      </x:c>
      <x:c r="D23" s="21" t="str">
        <x:v>{ { curbSpots_R } }</x:v>
      </x:c>
      <x:c r="E23" s="26" t="str">
        <x:v>{ { curbSpots_R } }</x:v>
      </x:c>
      <x:c r="F23" s="21" t="str"/>
      <x:c r="G23" s="21" t="str">
        <x:v>MODEL</x:v>
      </x:c>
      <x:c r="H23" s="21" t="str">
        <x:v>Check live source / adjust Scenario column</x:v>
      </x:c>
      <x:c r="I23" s="21" t="str"/>
    </x:row>
    <x:row r="24" ht="23" customHeight="1">
      <x:c r="A24" s="24" t="str">
        <x:v>seize1</x:v>
      </x:c>
      <x:c r="B24" s="24" t="str">
        <x:v>Seize</x:v>
      </x:c>
      <x:c r="C24" s="24" t="str">
        <x:v>resourceSets</x:v>
      </x:c>
      <x:c r="D24" s="24" t="str">
        <x:v>{ { curbSpots_L } }</x:v>
      </x:c>
      <x:c r="E24" s="26" t="str">
        <x:v>{ { curbSpots_L } }</x:v>
      </x:c>
      <x:c r="F24" s="24" t="str"/>
      <x:c r="G24" s="24" t="str">
        <x:v>MODEL</x:v>
      </x:c>
      <x:c r="H24" s="24" t="str">
        <x:v>Check live source / adjust Scenario column</x:v>
      </x:c>
      <x:c r="I24" s="24" t="str"/>
    </x:row>
    <x:row r="25" ht="23" customHeight="1">
      <x:c r="A25" s="21" t="str">
        <x:v>seize2</x:v>
      </x:c>
      <x:c r="B25" s="21" t="str">
        <x:v>Seize</x:v>
      </x:c>
      <x:c r="C25" s="21" t="str">
        <x:v>resourceSets</x:v>
      </x:c>
      <x:c r="D25" s="21" t="str">
        <x:v>{ { curbSpots2_L } }</x:v>
      </x:c>
      <x:c r="E25" s="26" t="str">
        <x:v>{ { curbSpots2_L } }</x:v>
      </x:c>
      <x:c r="F25" s="21" t="str"/>
      <x:c r="G25" s="21" t="str">
        <x:v>MODEL</x:v>
      </x:c>
      <x:c r="H25" s="21" t="str">
        <x:v>Check live source / adjust Scenario column</x:v>
      </x:c>
      <x:c r="I25" s="21" t="str"/>
    </x:row>
    <x:row r="26" ht="23" customHeight="1">
      <x:c r="A26" s="24" t="str">
        <x:v>release</x:v>
      </x:c>
      <x:c r="B26" s="24" t="str">
        <x:v>Release</x:v>
      </x:c>
      <x:c r="C26" s="24" t="str">
        <x:v>seizeBlocks</x:v>
      </x:c>
      <x:c r="D26" s="24" t="str">
        <x:v>{ seize }</x:v>
      </x:c>
      <x:c r="E26" s="26" t="str">
        <x:v>{ seize }</x:v>
      </x:c>
      <x:c r="F26" s="24" t="str"/>
      <x:c r="G26" s="24" t="str">
        <x:v>MODEL</x:v>
      </x:c>
      <x:c r="H26" s="24" t="str">
        <x:v>Check live source / adjust Scenario column</x:v>
      </x:c>
      <x:c r="I26" s="24" t="str"/>
    </x:row>
    <x:row r="27" ht="23" customHeight="1">
      <x:c r="A27" s="21" t="str">
        <x:v>release1</x:v>
      </x:c>
      <x:c r="B27" s="21" t="str">
        <x:v>Release</x:v>
      </x:c>
      <x:c r="C27" s="21" t="str">
        <x:v>seizeBlocks</x:v>
      </x:c>
      <x:c r="D27" s="21" t="str">
        <x:v>{ seize1 }</x:v>
      </x:c>
      <x:c r="E27" s="26" t="str">
        <x:v>{ seize1 }</x:v>
      </x:c>
      <x:c r="F27" s="21" t="str"/>
      <x:c r="G27" s="21" t="str">
        <x:v>MODEL</x:v>
      </x:c>
      <x:c r="H27" s="21" t="str">
        <x:v>Check live source / adjust Scenario column</x:v>
      </x:c>
      <x:c r="I27" s="21" t="str"/>
    </x:row>
    <x:row r="28" ht="23" customHeight="1">
      <x:c r="A28" s="24" t="str">
        <x:v>release2</x:v>
      </x:c>
      <x:c r="B28" s="24" t="str">
        <x:v>Release</x:v>
      </x:c>
      <x:c r="C28" s="24" t="str">
        <x:v>seizeBlocks</x:v>
      </x:c>
      <x:c r="D28" s="24" t="str">
        <x:v>{ seize1 }</x:v>
      </x:c>
      <x:c r="E28" s="26" t="str">
        <x:v>{ seize1 }</x:v>
      </x:c>
      <x:c r="F28" s="24" t="str"/>
      <x:c r="G28" s="24" t="str">
        <x:v>MODEL</x:v>
      </x:c>
      <x:c r="H28" s="24" t="str">
        <x:v>Check live source / adjust Scenario column</x:v>
      </x:c>
      <x:c r="I28" s="24" t="str">
        <x:v>Potential issue: release2 references seize1</x:v>
      </x:c>
    </x:row>
    <x:row r="29" ht="23" customHeight="1">
      <x:c r="A29" s="21" t="str">
        <x:v>assignSlotR</x:v>
      </x:c>
      <x:c r="B29" s="21" t="str">
        <x:v>Delay</x:v>
      </x:c>
      <x:c r="C29" s="21" t="str">
        <x:v>delayTime</x:v>
      </x:c>
      <x:c r="D29" s="21" t="str">
        <x:v>0</x:v>
      </x:c>
      <x:c r="E29" s="26" t="str">
        <x:v>0</x:v>
      </x:c>
      <x:c r="F29" s="21" t="str">
        <x:v>SECOND</x:v>
      </x:c>
      <x:c r="G29" s="21" t="str">
        <x:v>MODEL</x:v>
      </x:c>
      <x:c r="H29" s="21" t="str">
        <x:v>Check live source / adjust Scenario column</x:v>
      </x:c>
      <x:c r="I29" s="21" t="str"/>
    </x:row>
    <x:row r="30" ht="23" customHeight="1">
      <x:c r="A30" s="24" t="str">
        <x:v>assignSlotR</x:v>
      </x:c>
      <x:c r="B30" s="24" t="str">
        <x:v>Delay</x:v>
      </x:c>
      <x:c r="C30" s="24" t="str">
        <x:v>onEnter</x:v>
      </x:c>
      <x:c r="D30" s="24" t="str">
        <x:v>agent.slot = claimFarthestFreeSlot(rightFree);</x:v>
      </x:c>
      <x:c r="E30" s="26" t="str">
        <x:v>agent.slot = claimFarthestFreeSlot(rightFree);</x:v>
      </x:c>
      <x:c r="F30" s="24" t="str"/>
      <x:c r="G30" s="24" t="str">
        <x:v>MODEL</x:v>
      </x:c>
      <x:c r="H30" s="24" t="str">
        <x:v>Check live source / adjust Scenario column</x:v>
      </x:c>
      <x:c r="I30" s="24" t="str"/>
    </x:row>
    <x:row r="31" ht="23" customHeight="1">
      <x:c r="A31" s="21" t="str">
        <x:v>assignSlotL</x:v>
      </x:c>
      <x:c r="B31" s="21" t="str">
        <x:v>Delay</x:v>
      </x:c>
      <x:c r="C31" s="21" t="str">
        <x:v>onEnter</x:v>
      </x:c>
      <x:c r="D31" s="21" t="str">
        <x:v>agent.slot = claimFarthestFreeSlot(leftFree);</x:v>
      </x:c>
      <x:c r="E31" s="26" t="str">
        <x:v>agent.slot = claimFarthestFreeSlot(leftFree);</x:v>
      </x:c>
      <x:c r="F31" s="21" t="str"/>
      <x:c r="G31" s="21" t="str">
        <x:v>MODEL</x:v>
      </x:c>
      <x:c r="H31" s="21" t="str">
        <x:v>Check live source / adjust Scenario column</x:v>
      </x:c>
      <x:c r="I31" s="21" t="str"/>
    </x:row>
    <x:row r="32" ht="23" customHeight="1">
      <x:c r="A32" s="24" t="str">
        <x:v>assignSlotL1</x:v>
      </x:c>
      <x:c r="B32" s="24" t="str">
        <x:v>Delay</x:v>
      </x:c>
      <x:c r="C32" s="24" t="str">
        <x:v>onEnter</x:v>
      </x:c>
      <x:c r="D32" s="24" t="str">
        <x:v>agent.slot = claimFarthestFreeSlot(leftFree);</x:v>
      </x:c>
      <x:c r="E32" s="26" t="str">
        <x:v>agent.slot = claimFarthestFreeSlot(leftFree);</x:v>
      </x:c>
      <x:c r="F32" s="24" t="str"/>
      <x:c r="G32" s="24" t="str">
        <x:v>MODEL</x:v>
      </x:c>
      <x:c r="H32" s="24" t="str">
        <x:v>Check live source / adjust Scenario column</x:v>
      </x:c>
      <x:c r="I32" s="24" t="str">
        <x:v>Second entrance reuses main leftFree</x:v>
      </x:c>
    </x:row>
    <x:row r="33" ht="23" customHeight="1">
      <x:c r="A33" s="21" t="str">
        <x:v>g_v</x:v>
      </x:c>
      <x:c r="B33" s="21" t="str">
        <x:v>Variable</x:v>
      </x:c>
      <x:c r="C33" s="21" t="str">
        <x:v>Initial value</x:v>
      </x:c>
      <x:c r="D33" s="21" t="str">
        <x:v>20</x:v>
      </x:c>
      <x:c r="E33" s="26" t="str">
        <x:v>20</x:v>
      </x:c>
      <x:c r="F33" s="21" t="str">
        <x:v>double</x:v>
      </x:c>
      <x:c r="G33" s="21" t="str">
        <x:v>MODEL</x:v>
      </x:c>
      <x:c r="H33" s="21" t="str">
        <x:v>Variable in Main</x:v>
      </x:c>
      <x:c r="I33" s="21" t="str">
        <x:v>g_v/g_p not used in latest traffic light durations</x:v>
      </x:c>
    </x:row>
    <x:row r="34" ht="23" customHeight="1">
      <x:c r="A34" s="24" t="str">
        <x:v>g_p</x:v>
      </x:c>
      <x:c r="B34" s="24" t="str">
        <x:v>Variable</x:v>
      </x:c>
      <x:c r="C34" s="24" t="str">
        <x:v>Initial value</x:v>
      </x:c>
      <x:c r="D34" s="24" t="str">
        <x:v>10</x:v>
      </x:c>
      <x:c r="E34" s="26" t="str">
        <x:v>10</x:v>
      </x:c>
      <x:c r="F34" s="24" t="str">
        <x:v>double</x:v>
      </x:c>
      <x:c r="G34" s="24" t="str">
        <x:v>MODEL</x:v>
      </x:c>
      <x:c r="H34" s="24" t="str">
        <x:v>Variable in Main</x:v>
      </x:c>
      <x:c r="I34" s="24" t="str">
        <x:v>g_v/g_p not used in latest traffic light durations</x:v>
      </x:c>
    </x:row>
    <x:row r="35" ht="23" customHeight="1">
      <x:c r="A35" s="21" t="str">
        <x:v>TurnLeftProb</x:v>
      </x:c>
      <x:c r="B35" s="21" t="str">
        <x:v>Variable</x:v>
      </x:c>
      <x:c r="C35" s="21" t="str">
        <x:v>Initial value</x:v>
      </x:c>
      <x:c r="D35" s="21" t="str">
        <x:v>(blank)</x:v>
      </x:c>
      <x:c r="E35" s="26" t="str">
        <x:v>(blank)</x:v>
      </x:c>
      <x:c r="F35" s="21" t="str">
        <x:v>double</x:v>
      </x:c>
      <x:c r="G35" s="21" t="str">
        <x:v>MODEL</x:v>
      </x:c>
      <x:c r="H35" s="21" t="str">
        <x:v>Variable in Main</x:v>
      </x:c>
      <x:c r="I35" s="21" t="str"/>
    </x:row>
    <x:row r="36" ht="23" customHeight="1">
      <x:c r="A36" s="24" t="str">
        <x:v>pedCount</x:v>
      </x:c>
      <x:c r="B36" s="24" t="str">
        <x:v>Variable</x:v>
      </x:c>
      <x:c r="C36" s="24" t="str">
        <x:v>Initial value</x:v>
      </x:c>
      <x:c r="D36" s="24" t="str">
        <x:v>0</x:v>
      </x:c>
      <x:c r="E36" s="26" t="str">
        <x:v>0</x:v>
      </x:c>
      <x:c r="F36" s="24" t="str">
        <x:v>int</x:v>
      </x:c>
      <x:c r="G36" s="24" t="str">
        <x:v>MODEL</x:v>
      </x:c>
      <x:c r="H36" s="24" t="str">
        <x:v>Variable in Main</x:v>
      </x:c>
      <x:c r="I36" s="24" t="str"/>
    </x:row>
    <x:row r="37" ht="23" customHeight="1">
      <x:c r="A37" s="21" t="str">
        <x:v>pedCrossed</x:v>
      </x:c>
      <x:c r="B37" s="21" t="str">
        <x:v>Variable</x:v>
      </x:c>
      <x:c r="C37" s="21" t="str">
        <x:v>Initial value</x:v>
      </x:c>
      <x:c r="D37" s="21" t="str">
        <x:v>0</x:v>
      </x:c>
      <x:c r="E37" s="26" t="str">
        <x:v>0</x:v>
      </x:c>
      <x:c r="F37" s="21" t="str">
        <x:v>int</x:v>
      </x:c>
      <x:c r="G37" s="21" t="str">
        <x:v>MODEL</x:v>
      </x:c>
      <x:c r="H37" s="21" t="str">
        <x:v>Variable in Main</x:v>
      </x:c>
      <x:c r="I37" s="21" t="str"/>
    </x:row>
    <x:row r="38" ht="23" customHeight="1">
      <x:c r="A38" s="24" t="str">
        <x:v>crossingCount</x:v>
      </x:c>
      <x:c r="B38" s="24" t="str">
        <x:v>Variable</x:v>
      </x:c>
      <x:c r="C38" s="24" t="str">
        <x:v>Initial value</x:v>
      </x:c>
      <x:c r="D38" s="24" t="str">
        <x:v>0</x:v>
      </x:c>
      <x:c r="E38" s="26" t="str">
        <x:v>0</x:v>
      </x:c>
      <x:c r="F38" s="24" t="str">
        <x:v>int</x:v>
      </x:c>
      <x:c r="G38" s="24" t="str">
        <x:v>MODEL</x:v>
      </x:c>
      <x:c r="H38" s="24" t="str">
        <x:v>Variable in Main</x:v>
      </x:c>
      <x:c r="I38" s="24" t="str"/>
    </x:row>
    <x:row r="39" ht="23" customHeight="1">
      <x:c r="A39" s="21" t="str">
        <x:v>totalPedWait</x:v>
      </x:c>
      <x:c r="B39" s="21" t="str">
        <x:v>Variable</x:v>
      </x:c>
      <x:c r="C39" s="21" t="str">
        <x:v>Initial value</x:v>
      </x:c>
      <x:c r="D39" s="21" t="str">
        <x:v>0</x:v>
      </x:c>
      <x:c r="E39" s="26" t="str">
        <x:v>0</x:v>
      </x:c>
      <x:c r="F39" s="21" t="str">
        <x:v>double</x:v>
      </x:c>
      <x:c r="G39" s="21" t="str">
        <x:v>MODEL</x:v>
      </x:c>
      <x:c r="H39" s="21" t="str">
        <x:v>Variable in Main</x:v>
      </x:c>
      <x:c r="I39" s="21" t="str"/>
    </x:row>
    <x:row r="40" ht="23" customHeight="1">
      <x:c r="A40" s="24" t="str">
        <x:v>measuredPedCount</x:v>
      </x:c>
      <x:c r="B40" s="24" t="str">
        <x:v>Variable</x:v>
      </x:c>
      <x:c r="C40" s="24" t="str">
        <x:v>Initial value</x:v>
      </x:c>
      <x:c r="D40" s="24" t="str">
        <x:v>0</x:v>
      </x:c>
      <x:c r="E40" s="26" t="str">
        <x:v>0</x:v>
      </x:c>
      <x:c r="F40" s="24" t="str">
        <x:v>int</x:v>
      </x:c>
      <x:c r="G40" s="24" t="str">
        <x:v>MODEL</x:v>
      </x:c>
      <x:c r="H40" s="24" t="str">
        <x:v>Variable in Main</x:v>
      </x:c>
      <x:c r="I40" s="24" t="str"/>
    </x:row>
  </x:sheetData>
  <x:mergeCells>
    <x:mergeCell ref="A1:I2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2" hidden="0" customWidth="1"/>
    <x:col min="4" max="4" width="28" hidden="0" customWidth="1"/>
    <x:col min="5" max="5" width="89" hidden="0" customWidth="1"/>
    <x:col min="6" max="6" width="68" hidden="0" customWidth="1"/>
    <x:col min="7" max="7" width="22" hidden="0" customWidth="1"/>
    <x:col min="8" max="8" width="49" hidden="0" customWidth="1"/>
    <x:col min="9" max="9" width="74" hidden="0" customWidth="1"/>
  </x:cols>
  <x:sheetData>
    <x:row r="1" ht="22" customHeight="1">
      <x:c r="A1" s="4" t="str">
        <x:v>07  •  SOURCE / ROUTE BLOCK INVENTORY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9" t="str">
        <x:v>All source and CarMoveTo/CarExit/CarDispose blocks found in latest .alp. Outgoing process links reflect saved markup; verify in editor after subsequent changes.</x:v>
      </x:c>
      <x:c r="B3" s="9"/>
      <x:c r="C3" s="9"/>
      <x:c r="D3" s="9"/>
      <x:c r="E3" s="9"/>
      <x:c r="F3" s="9"/>
      <x:c r="G3" s="9"/>
      <x:c r="H3" s="9"/>
      <x:c r="I3" s="9"/>
    </x:row>
    <x:row r="4" ht="34" customHeight="1">
      <x:c r="A4" s="15" t="str">
        <x:v>AnyLogic object</x:v>
      </x:c>
      <x:c r="B4" s="15" t="str">
        <x:v>Block class</x:v>
      </x:c>
      <x:c r="C4" s="15" t="str">
        <x:v>Rate schedule</x:v>
      </x:c>
      <x:c r="D4" s="15" t="str">
        <x:v>Road/Stopline</x:v>
      </x:c>
      <x:c r="E4" s="15" t="str">
        <x:v>Current config</x:v>
      </x:c>
      <x:c r="F4" s="15" t="str">
        <x:v>Out connections</x:v>
      </x:c>
      <x:c r="G4" s="15" t="str">
        <x:v>Status</x:v>
      </x:c>
      <x:c r="H4" s="15" t="str">
        <x:v>Where to edit</x:v>
      </x:c>
      <x:c r="I4" s="15" t="str">
        <x:v>Notes</x:v>
      </x:c>
    </x:row>
    <x:row r="5" ht="23" customHeight="1">
      <x:c r="A5" s="21" t="str">
        <x:v>CarRightPhayathai</x:v>
      </x:c>
      <x:c r="B5" s="21" t="str">
        <x:v>CarSource</x:v>
      </x:c>
      <x:c r="C5" s="21" t="str">
        <x:v>carRateSchedule_Right</x:v>
      </x:c>
      <x:c r="D5" s="21" t="str">
        <x:v>PhayathaiRd</x:v>
      </x:c>
      <x:c r="E5" s="21" t="str">
        <x:v>arrival=self.RATE_SCHEDULE; schedule=carRateSchedule_Right; rate=</x:v>
      </x:c>
      <x:c r="F5" s="21" t="str">
        <x:v>out→selectOutput</x:v>
      </x:c>
      <x:c r="G5" s="21" t="str">
        <x:v>MODEL CURRENT</x:v>
      </x:c>
      <x:c r="H5" s="21" t="str">
        <x:v>Edit the named block in AnyLogic</x:v>
      </x:c>
      <x:c r="I5" s="21" t="str"/>
    </x:row>
    <x:row r="6" ht="23" customHeight="1">
      <x:c r="A6" s="24" t="str">
        <x:v>CarLeftPhayathai</x:v>
      </x:c>
      <x:c r="B6" s="24" t="str">
        <x:v>CarSource</x:v>
      </x:c>
      <x:c r="C6" s="24" t="str">
        <x:v>carRateSchedule_Left</x:v>
      </x:c>
      <x:c r="D6" s="24" t="str">
        <x:v>PhayathaiRd</x:v>
      </x:c>
      <x:c r="E6" s="24" t="str">
        <x:v>arrival=self.RATE_SCHEDULE; schedule=carRateSchedule_Left; rate=</x:v>
      </x:c>
      <x:c r="F6" s="24" t="str">
        <x:v>out→selectOutput1</x:v>
      </x:c>
      <x:c r="G6" s="24" t="str">
        <x:v>MODEL CURRENT</x:v>
      </x:c>
      <x:c r="H6" s="24" t="str">
        <x:v>Edit the named block in AnyLogic</x:v>
      </x:c>
      <x:c r="I6" s="24" t="str"/>
    </x:row>
    <x:row r="7" ht="23" customHeight="1">
      <x:c r="A7" s="21" t="str">
        <x:v>carExit</x:v>
      </x:c>
      <x:c r="B7" s="21" t="str">
        <x:v>CarExit</x:v>
      </x:c>
      <x:c r="C7" s="21" t="str"/>
      <x:c r="D7" s="21" t="str"/>
      <x:c r="E7" s="21" t="str"/>
      <x:c r="F7" s="21" t="str">
        <x:v>out→sink</x:v>
      </x:c>
      <x:c r="G7" s="21" t="str">
        <x:v>MODEL CURRENT</x:v>
      </x:c>
      <x:c r="H7" s="21" t="str">
        <x:v>Edit the named block in AnyLogic</x:v>
      </x:c>
      <x:c r="I7" s="21" t="str"/>
    </x:row>
    <x:row r="8" ht="23" customHeight="1">
      <x:c r="A8" s="24" t="str">
        <x:v>carExit1</x:v>
      </x:c>
      <x:c r="B8" s="24" t="str">
        <x:v>CarExit</x:v>
      </x:c>
      <x:c r="C8" s="24" t="str"/>
      <x:c r="D8" s="24" t="str"/>
      <x:c r="E8" s="24" t="str"/>
      <x:c r="F8" s="24" t="str">
        <x:v>out→sink2</x:v>
      </x:c>
      <x:c r="G8" s="24" t="str">
        <x:v>MODEL CURRENT</x:v>
      </x:c>
      <x:c r="H8" s="24" t="str">
        <x:v>Edit the named block in AnyLogic</x:v>
      </x:c>
      <x:c r="I8" s="24" t="str"/>
    </x:row>
    <x:row r="9" ht="23" customHeight="1">
      <x:c r="A9" s="21" t="str">
        <x:v>carExit2</x:v>
      </x:c>
      <x:c r="B9" s="21" t="str">
        <x:v>CarExit</x:v>
      </x:c>
      <x:c r="C9" s="21" t="str"/>
      <x:c r="D9" s="21" t="str"/>
      <x:c r="E9" s="21" t="str"/>
      <x:c r="F9" s="21" t="str">
        <x:v>out→sink3</x:v>
      </x:c>
      <x:c r="G9" s="21" t="str">
        <x:v>MODEL CURRENT</x:v>
      </x:c>
      <x:c r="H9" s="21" t="str">
        <x:v>Edit the named block in AnyLogic</x:v>
      </x:c>
      <x:c r="I9" s="21" t="str"/>
    </x:row>
    <x:row r="10" ht="23" customHeight="1">
      <x:c r="A10" s="24" t="str">
        <x:v>carExit3</x:v>
      </x:c>
      <x:c r="B10" s="24" t="str">
        <x:v>CarExit</x:v>
      </x:c>
      <x:c r="C10" s="24" t="str"/>
      <x:c r="D10" s="24" t="str"/>
      <x:c r="E10" s="24" t="str"/>
      <x:c r="F10" s="24" t="str">
        <x:v>out→sink4</x:v>
      </x:c>
      <x:c r="G10" s="24" t="str">
        <x:v>MODEL CURRENT</x:v>
      </x:c>
      <x:c r="H10" s="24" t="str">
        <x:v>Edit the named block in AnyLogic</x:v>
      </x:c>
      <x:c r="I10" s="24" t="str"/>
    </x:row>
    <x:row r="11" ht="23" customHeight="1">
      <x:c r="A11" s="21" t="str">
        <x:v>carMoveTo_end_R</x:v>
      </x:c>
      <x:c r="B11" s="21" t="str">
        <x:v>CarMoveTo</x:v>
      </x:c>
      <x:c r="C11" s="21" t="str"/>
      <x:c r="D11" s="21" t="str">
        <x:v>road</x:v>
      </x:c>
      <x:c r="E11" s="21" t="str">
        <x:v>road=road; stop=stop_R1; move=</x:v>
      </x:c>
      <x:c r="F11" s="21" t="str">
        <x:v>out→carMoveToAfterMerge</x:v>
      </x:c>
      <x:c r="G11" s="21" t="str">
        <x:v>MODEL CURRENT</x:v>
      </x:c>
      <x:c r="H11" s="21" t="str">
        <x:v>Edit the named block in AnyLogic</x:v>
      </x:c>
      <x:c r="I11" s="21" t="str"/>
    </x:row>
    <x:row r="12" ht="23" customHeight="1">
      <x:c r="A12" s="24" t="str">
        <x:v>carMoveTo_end_L</x:v>
      </x:c>
      <x:c r="B12" s="24" t="str">
        <x:v>CarMoveTo</x:v>
      </x:c>
      <x:c r="C12" s="24" t="str"/>
      <x:c r="D12" s="24" t="str">
        <x:v>road</x:v>
      </x:c>
      <x:c r="E12" s="24" t="str">
        <x:v>road=road; stop=stop_R1; move=</x:v>
      </x:c>
      <x:c r="F12" s="24" t="str">
        <x:v>out→selectOutput9</x:v>
      </x:c>
      <x:c r="G12" s="24" t="str">
        <x:v>MODEL CURRENT</x:v>
      </x:c>
      <x:c r="H12" s="24" t="str">
        <x:v>Edit the named block in AnyLogic</x:v>
      </x:c>
      <x:c r="I12" s="24" t="str"/>
    </x:row>
    <x:row r="13" ht="23" customHeight="1">
      <x:c r="A13" s="21" t="str">
        <x:v>carMoveTo</x:v>
      </x:c>
      <x:c r="B13" s="21" t="str">
        <x:v>CarMoveTo</x:v>
      </x:c>
      <x:c r="C13" s="21" t="str"/>
      <x:c r="D13" s="21" t="str">
        <x:v>road</x:v>
      </x:c>
      <x:c r="E13" s="21" t="str">
        <x:v>road=road; stop=; move=</x:v>
      </x:c>
      <x:c r="F13" s="21" t="str">
        <x:v>out→carMoveToAfterMerge1</x:v>
      </x:c>
      <x:c r="G13" s="21" t="str">
        <x:v>MODEL CURRENT</x:v>
      </x:c>
      <x:c r="H13" s="21" t="str">
        <x:v>Edit the named block in AnyLogic</x:v>
      </x:c>
      <x:c r="I13" s="21" t="str"/>
    </x:row>
    <x:row r="14" ht="23" customHeight="1">
      <x:c r="A14" s="24" t="str">
        <x:v>carMoveTo1</x:v>
      </x:c>
      <x:c r="B14" s="24" t="str">
        <x:v>CarMoveTo</x:v>
      </x:c>
      <x:c r="C14" s="24" t="str"/>
      <x:c r="D14" s="24" t="str">
        <x:v>road</x:v>
      </x:c>
      <x:c r="E14" s="24" t="str">
        <x:v>road=road; stop=; move=</x:v>
      </x:c>
      <x:c r="F14" s="24" t="str">
        <x:v>out→carMoveToAfterMerge2</x:v>
      </x:c>
      <x:c r="G14" s="24" t="str">
        <x:v>MODEL CURRENT</x:v>
      </x:c>
      <x:c r="H14" s="24" t="str">
        <x:v>Edit the named block in AnyLogic</x:v>
      </x:c>
      <x:c r="I14" s="24" t="str"/>
    </x:row>
    <x:row r="15" ht="23" customHeight="1">
      <x:c r="A15" s="21" t="str">
        <x:v>carMoveTo_R1</x:v>
      </x:c>
      <x:c r="B15" s="21" t="str">
        <x:v>CarMoveTo</x:v>
      </x:c>
      <x:c r="C15" s="21" t="str"/>
      <x:c r="D15" s="21" t="str">
        <x:v>stop_R1</x:v>
      </x:c>
      <x:c r="E15" s="21" t="str">
        <x:v>road=; stop=stop_R1; move=self.STOP_LINE</x:v>
      </x:c>
      <x:c r="F15" s="21" t="str">
        <x:v>out→delay</x:v>
      </x:c>
      <x:c r="G15" s="21" t="str">
        <x:v>MODEL CURRENT</x:v>
      </x:c>
      <x:c r="H15" s="21" t="str">
        <x:v>Edit the named block in AnyLogic</x:v>
      </x:c>
      <x:c r="I15" s="21" t="str"/>
    </x:row>
    <x:row r="16" ht="23" customHeight="1">
      <x:c r="A16" s="24" t="str">
        <x:v>carMoveTo_R2</x:v>
      </x:c>
      <x:c r="B16" s="24" t="str">
        <x:v>CarMoveTo</x:v>
      </x:c>
      <x:c r="C16" s="24" t="str"/>
      <x:c r="D16" s="24" t="str">
        <x:v>stop_R2</x:v>
      </x:c>
      <x:c r="E16" s="24" t="str">
        <x:v>road=; stop=stop_R2; move=self.STOP_LINE</x:v>
      </x:c>
      <x:c r="F16" s="24" t="str">
        <x:v>out→delay</x:v>
      </x:c>
      <x:c r="G16" s="24" t="str">
        <x:v>MODEL CURRENT</x:v>
      </x:c>
      <x:c r="H16" s="24" t="str">
        <x:v>Edit the named block in AnyLogic</x:v>
      </x:c>
      <x:c r="I16" s="24" t="str"/>
    </x:row>
    <x:row r="17" ht="23" customHeight="1">
      <x:c r="A17" s="21" t="str">
        <x:v>carMoveTo_R3</x:v>
      </x:c>
      <x:c r="B17" s="21" t="str">
        <x:v>CarMoveTo</x:v>
      </x:c>
      <x:c r="C17" s="21" t="str"/>
      <x:c r="D17" s="21" t="str">
        <x:v>stop_R3</x:v>
      </x:c>
      <x:c r="E17" s="21" t="str">
        <x:v>road=; stop=stop_R3; move=self.STOP_LINE</x:v>
      </x:c>
      <x:c r="F17" s="21" t="str">
        <x:v>out→delay</x:v>
      </x:c>
      <x:c r="G17" s="21" t="str">
        <x:v>MODEL CURRENT</x:v>
      </x:c>
      <x:c r="H17" s="21" t="str">
        <x:v>Edit the named block in AnyLogic</x:v>
      </x:c>
      <x:c r="I17" s="21" t="str"/>
    </x:row>
    <x:row r="18" ht="23" customHeight="1">
      <x:c r="A18" s="24" t="str">
        <x:v>carMoveTo_R4</x:v>
      </x:c>
      <x:c r="B18" s="24" t="str">
        <x:v>CarMoveTo</x:v>
      </x:c>
      <x:c r="C18" s="24" t="str"/>
      <x:c r="D18" s="24" t="str">
        <x:v>stop_R4</x:v>
      </x:c>
      <x:c r="E18" s="24" t="str">
        <x:v>road=; stop=stop_R4; move=self.STOP_LINE</x:v>
      </x:c>
      <x:c r="F18" s="24" t="str">
        <x:v>out→delay</x:v>
      </x:c>
      <x:c r="G18" s="24" t="str">
        <x:v>MODEL CURRENT</x:v>
      </x:c>
      <x:c r="H18" s="24" t="str">
        <x:v>Edit the named block in AnyLogic</x:v>
      </x:c>
      <x:c r="I18" s="24" t="str"/>
    </x:row>
    <x:row r="19" ht="23" customHeight="1">
      <x:c r="A19" s="21" t="str">
        <x:v>carMoveTo_R5</x:v>
      </x:c>
      <x:c r="B19" s="21" t="str">
        <x:v>CarMoveTo</x:v>
      </x:c>
      <x:c r="C19" s="21" t="str"/>
      <x:c r="D19" s="21" t="str">
        <x:v>stop_R5</x:v>
      </x:c>
      <x:c r="E19" s="21" t="str">
        <x:v>road=; stop=stop_R5; move=self.STOP_LINE</x:v>
      </x:c>
      <x:c r="F19" s="21" t="str">
        <x:v>out→delay</x:v>
      </x:c>
      <x:c r="G19" s="21" t="str">
        <x:v>MODEL CURRENT</x:v>
      </x:c>
      <x:c r="H19" s="21" t="str">
        <x:v>Edit the named block in AnyLogic</x:v>
      </x:c>
      <x:c r="I19" s="21" t="str"/>
    </x:row>
    <x:row r="20" ht="23" customHeight="1">
      <x:c r="A20" s="24" t="str">
        <x:v>carMoveTo_L1</x:v>
      </x:c>
      <x:c r="B20" s="24" t="str">
        <x:v>CarMoveTo</x:v>
      </x:c>
      <x:c r="C20" s="24" t="str"/>
      <x:c r="D20" s="24" t="str">
        <x:v>stopLine_L1</x:v>
      </x:c>
      <x:c r="E20" s="24" t="str">
        <x:v>road=; stop=stopLine_L1; move=self.STOP_LINE</x:v>
      </x:c>
      <x:c r="F20" s="24" t="str">
        <x:v>out→delay1</x:v>
      </x:c>
      <x:c r="G20" s="24" t="str">
        <x:v>MODEL CURRENT</x:v>
      </x:c>
      <x:c r="H20" s="24" t="str">
        <x:v>Edit the named block in AnyLogic</x:v>
      </x:c>
      <x:c r="I20" s="24" t="str"/>
    </x:row>
    <x:row r="21" ht="23" customHeight="1">
      <x:c r="A21" s="21" t="str">
        <x:v>carMoveTo_L2</x:v>
      </x:c>
      <x:c r="B21" s="21" t="str">
        <x:v>CarMoveTo</x:v>
      </x:c>
      <x:c r="C21" s="21" t="str"/>
      <x:c r="D21" s="21" t="str">
        <x:v>stopLine_L2</x:v>
      </x:c>
      <x:c r="E21" s="21" t="str">
        <x:v>road=; stop=stopLine_L2; move=self.STOP_LINE</x:v>
      </x:c>
      <x:c r="F21" s="21" t="str">
        <x:v>out→delay1</x:v>
      </x:c>
      <x:c r="G21" s="21" t="str">
        <x:v>MODEL CURRENT</x:v>
      </x:c>
      <x:c r="H21" s="21" t="str">
        <x:v>Edit the named block in AnyLogic</x:v>
      </x:c>
      <x:c r="I21" s="21" t="str"/>
    </x:row>
    <x:row r="22" ht="23" customHeight="1">
      <x:c r="A22" s="24" t="str">
        <x:v>carMoveTo_L3</x:v>
      </x:c>
      <x:c r="B22" s="24" t="str">
        <x:v>CarMoveTo</x:v>
      </x:c>
      <x:c r="C22" s="24" t="str"/>
      <x:c r="D22" s="24" t="str">
        <x:v>stopLine_L3</x:v>
      </x:c>
      <x:c r="E22" s="24" t="str">
        <x:v>road=; stop=stopLine_L3; move=self.STOP_LINE</x:v>
      </x:c>
      <x:c r="F22" s="24" t="str">
        <x:v>out→delay1</x:v>
      </x:c>
      <x:c r="G22" s="24" t="str">
        <x:v>MODEL CURRENT</x:v>
      </x:c>
      <x:c r="H22" s="24" t="str">
        <x:v>Edit the named block in AnyLogic</x:v>
      </x:c>
      <x:c r="I22" s="24" t="str"/>
    </x:row>
    <x:row r="23" ht="23" customHeight="1">
      <x:c r="A23" s="21" t="str">
        <x:v>carMoveTo_L4</x:v>
      </x:c>
      <x:c r="B23" s="21" t="str">
        <x:v>CarMoveTo</x:v>
      </x:c>
      <x:c r="C23" s="21" t="str"/>
      <x:c r="D23" s="21" t="str">
        <x:v>stop_L4</x:v>
      </x:c>
      <x:c r="E23" s="21" t="str">
        <x:v>road=; stop=stop_L4; move=self.STOP_LINE</x:v>
      </x:c>
      <x:c r="F23" s="21" t="str">
        <x:v>out→delay1</x:v>
      </x:c>
      <x:c r="G23" s="21" t="str">
        <x:v>MODEL CURRENT</x:v>
      </x:c>
      <x:c r="H23" s="21" t="str">
        <x:v>Edit the named block in AnyLogic</x:v>
      </x:c>
      <x:c r="I23" s="21" t="str"/>
    </x:row>
    <x:row r="24" ht="23" customHeight="1">
      <x:c r="A24" s="24" t="str">
        <x:v>carMoveTo_L5</x:v>
      </x:c>
      <x:c r="B24" s="24" t="str">
        <x:v>CarMoveTo</x:v>
      </x:c>
      <x:c r="C24" s="24" t="str"/>
      <x:c r="D24" s="24" t="str">
        <x:v>stop_L5</x:v>
      </x:c>
      <x:c r="E24" s="24" t="str">
        <x:v>road=; stop=stop_L5; move=self.STOP_LINE</x:v>
      </x:c>
      <x:c r="F24" s="24" t="str">
        <x:v>out→delay1</x:v>
      </x:c>
      <x:c r="G24" s="24" t="str">
        <x:v>MODEL CURRENT</x:v>
      </x:c>
      <x:c r="H24" s="24" t="str">
        <x:v>Edit the named block in AnyLogic</x:v>
      </x:c>
      <x:c r="I24" s="24" t="str"/>
    </x:row>
    <x:row r="25" ht="23" customHeight="1">
      <x:c r="A25" s="21" t="str">
        <x:v>pedEntrance1Source</x:v>
      </x:c>
      <x:c r="B25" s="21" t="str">
        <x:v>PedSource</x:v>
      </x:c>
      <x:c r="C25" s="21" t="str">
        <x:v>pedRateSchedule</x:v>
      </x:c>
      <x:c r="D25" s="21" t="str">
        <x:v>pedOpposite</x:v>
      </x:c>
      <x:c r="E25" s="21" t="str">
        <x:v>arrival=self.RATE_SCHEDULE; schedule=pedRateSchedule; rate=pedArrivalRate()</x:v>
      </x:c>
      <x:c r="F25" s="21" t="str">
        <x:v>out→pedGoToWait</x:v>
      </x:c>
      <x:c r="G25" s="21" t="str">
        <x:v>MODEL CURRENT</x:v>
      </x:c>
      <x:c r="H25" s="21" t="str">
        <x:v>Edit the named block in AnyLogic</x:v>
      </x:c>
      <x:c r="I25" s="21" t="str"/>
    </x:row>
    <x:row r="26" ht="23" customHeight="1">
      <x:c r="A26" s="24" t="str">
        <x:v>pedSink</x:v>
      </x:c>
      <x:c r="B26" s="24" t="str">
        <x:v>PedSink</x:v>
      </x:c>
      <x:c r="C26" s="24" t="str"/>
      <x:c r="D26" s="24" t="str"/>
      <x:c r="E26" s="24" t="str"/>
      <x:c r="F26" s="24" t="str"/>
      <x:c r="G26" s="24" t="str">
        <x:v>MODEL CURRENT</x:v>
      </x:c>
      <x:c r="H26" s="24" t="str">
        <x:v>Edit the named block in AnyLogic</x:v>
      </x:c>
      <x:c r="I26" s="24" t="str"/>
    </x:row>
    <x:row r="27" ht="23" customHeight="1">
      <x:c r="A27" s="21" t="str">
        <x:v>pedWait</x:v>
      </x:c>
      <x:c r="B27" s="21" t="str">
        <x:v>PedWait</x:v>
      </x:c>
      <x:c r="C27" s="21" t="str"/>
      <x:c r="D27" s="21" t="str">
        <x:v>pedWaitingOpposite</x:v>
      </x:c>
      <x:c r="E27" s="21" t="str"/>
      <x:c r="F27" s="21" t="str">
        <x:v>out→pedGoToSchool</x:v>
      </x:c>
      <x:c r="G27" s="21" t="str">
        <x:v>MODEL CURRENT</x:v>
      </x:c>
      <x:c r="H27" s="21" t="str">
        <x:v>Edit the named block in AnyLogic</x:v>
      </x:c>
      <x:c r="I27" s="21" t="str"/>
    </x:row>
    <x:row r="28" ht="23" customHeight="1">
      <x:c r="A28" s="24" t="str">
        <x:v>carMoveToAfterMerge</x:v>
      </x:c>
      <x:c r="B28" s="24" t="str">
        <x:v>CarMoveTo</x:v>
      </x:c>
      <x:c r="C28" s="24" t="str"/>
      <x:c r="D28" s="24" t="str">
        <x:v>roadAfterMerge</x:v>
      </x:c>
      <x:c r="E28" s="24" t="str">
        <x:v>road=roadAfterMerge; stop=; move=</x:v>
      </x:c>
      <x:c r="F28" s="24" t="str">
        <x:v>out→selectOutput8</x:v>
      </x:c>
      <x:c r="G28" s="24" t="str">
        <x:v>MODEL CURRENT</x:v>
      </x:c>
      <x:c r="H28" s="24" t="str">
        <x:v>Edit the named block in AnyLogic</x:v>
      </x:c>
      <x:c r="I28" s="24" t="str"/>
    </x:row>
    <x:row r="29" ht="23" customHeight="1">
      <x:c r="A29" s="21" t="str">
        <x:v>carMoveTo3</x:v>
      </x:c>
      <x:c r="B29" s="21" t="str">
        <x:v>CarMoveTo</x:v>
      </x:c>
      <x:c r="C29" s="21" t="str"/>
      <x:c r="D29" s="21" t="str">
        <x:v>Chula9Road</x:v>
      </x:c>
      <x:c r="E29" s="21" t="str">
        <x:v>road=Chula9Road; stop=; move=</x:v>
      </x:c>
      <x:c r="F29" s="21" t="str">
        <x:v>out→carExit2</x:v>
      </x:c>
      <x:c r="G29" s="21" t="str">
        <x:v>MODEL CURRENT</x:v>
      </x:c>
      <x:c r="H29" s="21" t="str">
        <x:v>Edit the named block in AnyLogic</x:v>
      </x:c>
      <x:c r="I29" s="21" t="str"/>
    </x:row>
    <x:row r="30" ht="23" customHeight="1">
      <x:c r="A30" s="24" t="str">
        <x:v>carMoveTo_L6</x:v>
      </x:c>
      <x:c r="B30" s="24" t="str">
        <x:v>CarMoveTo</x:v>
      </x:c>
      <x:c r="C30" s="24" t="str"/>
      <x:c r="D30" s="24" t="str">
        <x:v>stop_L6</x:v>
      </x:c>
      <x:c r="E30" s="24" t="str">
        <x:v>road=; stop=stop_L6; move=self.STOP_LINE</x:v>
      </x:c>
      <x:c r="F30" s="24" t="str">
        <x:v>out→delay1</x:v>
      </x:c>
      <x:c r="G30" s="24" t="str">
        <x:v>MODEL CURRENT</x:v>
      </x:c>
      <x:c r="H30" s="24" t="str">
        <x:v>Edit the named block in AnyLogic</x:v>
      </x:c>
      <x:c r="I30" s="24" t="str"/>
    </x:row>
    <x:row r="31" ht="23" customHeight="1">
      <x:c r="A31" s="21" t="str">
        <x:v>carMoveTo_L7</x:v>
      </x:c>
      <x:c r="B31" s="21" t="str">
        <x:v>CarMoveTo</x:v>
      </x:c>
      <x:c r="C31" s="21" t="str"/>
      <x:c r="D31" s="21" t="str">
        <x:v>stop_L7</x:v>
      </x:c>
      <x:c r="E31" s="21" t="str">
        <x:v>road=; stop=stop_L7; move=self.STOP_LINE</x:v>
      </x:c>
      <x:c r="F31" s="21" t="str">
        <x:v>out→delay1</x:v>
      </x:c>
      <x:c r="G31" s="21" t="str">
        <x:v>MODEL CURRENT</x:v>
      </x:c>
      <x:c r="H31" s="21" t="str">
        <x:v>Edit the named block in AnyLogic</x:v>
      </x:c>
      <x:c r="I31" s="21" t="str"/>
    </x:row>
    <x:row r="32" ht="23" customHeight="1">
      <x:c r="A32" s="24" t="str">
        <x:v>carMoveTo_L8</x:v>
      </x:c>
      <x:c r="B32" s="24" t="str">
        <x:v>CarMoveTo</x:v>
      </x:c>
      <x:c r="C32" s="24" t="str"/>
      <x:c r="D32" s="24" t="str">
        <x:v>stop_L8</x:v>
      </x:c>
      <x:c r="E32" s="24" t="str">
        <x:v>road=; stop=stop_L8; move=self.STOP_LINE</x:v>
      </x:c>
      <x:c r="F32" s="24" t="str">
        <x:v>out→delay1</x:v>
      </x:c>
      <x:c r="G32" s="24" t="str">
        <x:v>MODEL CURRENT</x:v>
      </x:c>
      <x:c r="H32" s="24" t="str">
        <x:v>Edit the named block in AnyLogic</x:v>
      </x:c>
      <x:c r="I32" s="24" t="str"/>
    </x:row>
    <x:row r="33" ht="23" customHeight="1">
      <x:c r="A33" s="21" t="str">
        <x:v>carMoveTo4</x:v>
      </x:c>
      <x:c r="B33" s="21" t="str">
        <x:v>CarMoveTo</x:v>
      </x:c>
      <x:c r="C33" s="21" t="str"/>
      <x:c r="D33" s="21" t="str">
        <x:v>Chula9Road</x:v>
      </x:c>
      <x:c r="E33" s="21" t="str">
        <x:v>road=Chula9Road; stop=; move=</x:v>
      </x:c>
      <x:c r="F33" s="21" t="str">
        <x:v>out→carExit</x:v>
      </x:c>
      <x:c r="G33" s="21" t="str">
        <x:v>MODEL CURRENT</x:v>
      </x:c>
      <x:c r="H33" s="21" t="str">
        <x:v>Edit the named block in AnyLogic</x:v>
      </x:c>
      <x:c r="I33" s="21" t="str"/>
    </x:row>
    <x:row r="34" ht="23" customHeight="1">
      <x:c r="A34" s="24" t="str">
        <x:v>carMoveToAfterMerge1</x:v>
      </x:c>
      <x:c r="B34" s="24" t="str">
        <x:v>CarMoveTo</x:v>
      </x:c>
      <x:c r="C34" s="24" t="str"/>
      <x:c r="D34" s="24" t="str">
        <x:v>roadAfterMerge</x:v>
      </x:c>
      <x:c r="E34" s="24" t="str">
        <x:v>road=roadAfterMerge; stop=; move=</x:v>
      </x:c>
      <x:c r="F34" s="24" t="str">
        <x:v>out→selectOutput10</x:v>
      </x:c>
      <x:c r="G34" s="24" t="str">
        <x:v>MODEL CURRENT</x:v>
      </x:c>
      <x:c r="H34" s="24" t="str">
        <x:v>Edit the named block in AnyLogic</x:v>
      </x:c>
      <x:c r="I34" s="24" t="str"/>
    </x:row>
    <x:row r="35" ht="23" customHeight="1">
      <x:c r="A35" s="21" t="str">
        <x:v>carMoveTo5</x:v>
      </x:c>
      <x:c r="B35" s="21" t="str">
        <x:v>CarMoveTo</x:v>
      </x:c>
      <x:c r="C35" s="21" t="str"/>
      <x:c r="D35" s="21" t="str">
        <x:v>Chula9Road</x:v>
      </x:c>
      <x:c r="E35" s="21" t="str">
        <x:v>road=Chula9Road; stop=; move=</x:v>
      </x:c>
      <x:c r="F35" s="21" t="str">
        <x:v>out→carExit1</x:v>
      </x:c>
      <x:c r="G35" s="21" t="str">
        <x:v>MODEL CURRENT</x:v>
      </x:c>
      <x:c r="H35" s="21" t="str">
        <x:v>Edit the named block in AnyLogic</x:v>
      </x:c>
      <x:c r="I35" s="21" t="str"/>
    </x:row>
    <x:row r="36" ht="23" customHeight="1">
      <x:c r="A36" s="24" t="str">
        <x:v>carMoveToAfterMerge2</x:v>
      </x:c>
      <x:c r="B36" s="24" t="str">
        <x:v>CarMoveTo</x:v>
      </x:c>
      <x:c r="C36" s="24" t="str"/>
      <x:c r="D36" s="24" t="str">
        <x:v>roadAfterMerge</x:v>
      </x:c>
      <x:c r="E36" s="24" t="str">
        <x:v>road=roadAfterMerge; stop=; move=</x:v>
      </x:c>
      <x:c r="F36" s="24" t="str">
        <x:v>out→selectOutput11</x:v>
      </x:c>
      <x:c r="G36" s="24" t="str">
        <x:v>MODEL CURRENT</x:v>
      </x:c>
      <x:c r="H36" s="24" t="str">
        <x:v>Edit the named block in AnyLogic</x:v>
      </x:c>
      <x:c r="I36" s="24" t="str"/>
    </x:row>
    <x:row r="37" ht="23" customHeight="1">
      <x:c r="A37" s="21" t="str">
        <x:v>carMoveTo6</x:v>
      </x:c>
      <x:c r="B37" s="21" t="str">
        <x:v>CarMoveTo</x:v>
      </x:c>
      <x:c r="C37" s="21" t="str"/>
      <x:c r="D37" s="21" t="str">
        <x:v>Chula9Road</x:v>
      </x:c>
      <x:c r="E37" s="21" t="str">
        <x:v>road=Chula9Road; stop=; move=</x:v>
      </x:c>
      <x:c r="F37" s="21" t="str">
        <x:v>out→carExit3</x:v>
      </x:c>
      <x:c r="G37" s="21" t="str">
        <x:v>MODEL CURRENT</x:v>
      </x:c>
      <x:c r="H37" s="21" t="str">
        <x:v>Edit the named block in AnyLogic</x:v>
      </x:c>
      <x:c r="I37" s="21" t="str"/>
    </x:row>
    <x:row r="38" ht="23" customHeight="1">
      <x:c r="A38" s="24" t="str">
        <x:v>CarLeftSecond</x:v>
      </x:c>
      <x:c r="B38" s="24" t="str">
        <x:v>CarSource</x:v>
      </x:c>
      <x:c r="C38" s="24" t="str"/>
      <x:c r="D38" s="24" t="str">
        <x:v>MergeRoad</x:v>
      </x:c>
      <x:c r="E38" s="24" t="str">
        <x:v>arrival=; schedule=; rate=3</x:v>
      </x:c>
      <x:c r="F38" s="24" t="str">
        <x:v>out→selectOutput2</x:v>
      </x:c>
      <x:c r="G38" s="24" t="str">
        <x:v>MODEL CURRENT</x:v>
      </x:c>
      <x:c r="H38" s="24" t="str">
        <x:v>Edit the named block in AnyLogic</x:v>
      </x:c>
      <x:c r="I38" s="24" t="str">
        <x:v>Fixed 3/min source not linked SecondRoadSchedule_*</x:v>
      </x:c>
    </x:row>
    <x:row r="39" ht="23" customHeight="1">
      <x:c r="A39" s="21" t="str">
        <x:v>CarRightSecond</x:v>
      </x:c>
      <x:c r="B39" s="21" t="str">
        <x:v>CarSource</x:v>
      </x:c>
      <x:c r="C39" s="21" t="str"/>
      <x:c r="D39" s="21" t="str">
        <x:v>MergeRoad</x:v>
      </x:c>
      <x:c r="E39" s="21" t="str">
        <x:v>arrival=; schedule=; rate=3</x:v>
      </x:c>
      <x:c r="F39" s="21" t="str">
        <x:v>out→selectOutput3</x:v>
      </x:c>
      <x:c r="G39" s="21" t="str">
        <x:v>MODEL CURRENT</x:v>
      </x:c>
      <x:c r="H39" s="21" t="str">
        <x:v>Edit the named block in AnyLogic</x:v>
      </x:c>
      <x:c r="I39" s="21" t="str">
        <x:v>Fixed 3/min source not linked SecondRoadSchedule_*</x:v>
      </x:c>
    </x:row>
    <x:row r="40" ht="23" customHeight="1">
      <x:c r="A40" s="24" t="str">
        <x:v>carMoveTo7</x:v>
      </x:c>
      <x:c r="B40" s="24" t="str">
        <x:v>CarMoveTo</x:v>
      </x:c>
      <x:c r="C40" s="24" t="str"/>
      <x:c r="D40" s="24" t="str">
        <x:v>Chula9Road</x:v>
      </x:c>
      <x:c r="E40" s="24" t="str">
        <x:v>road=Chula9Road; stop=; move=</x:v>
      </x:c>
      <x:c r="F40" s="24" t="str">
        <x:v>out→carDispose</x:v>
      </x:c>
      <x:c r="G40" s="24" t="str">
        <x:v>MODEL CURRENT</x:v>
      </x:c>
      <x:c r="H40" s="24" t="str">
        <x:v>Edit the named block in AnyLogic</x:v>
      </x:c>
      <x:c r="I40" s="24" t="str"/>
    </x:row>
    <x:row r="41" ht="23" customHeight="1">
      <x:c r="A41" s="21" t="str">
        <x:v>carMoveTo8</x:v>
      </x:c>
      <x:c r="B41" s="21" t="str">
        <x:v>CarMoveTo</x:v>
      </x:c>
      <x:c r="C41" s="21" t="str"/>
      <x:c r="D41" s="21" t="str">
        <x:v>SecondEntranceRoad</x:v>
      </x:c>
      <x:c r="E41" s="21" t="str">
        <x:v>road=SecondEntranceRoad; stop=; move=</x:v>
      </x:c>
      <x:c r="F41" s="21" t="str">
        <x:v>out→carDispose1</x:v>
      </x:c>
      <x:c r="G41" s="21" t="str">
        <x:v>MODEL CURRENT</x:v>
      </x:c>
      <x:c r="H41" s="21" t="str">
        <x:v>Edit the named block in AnyLogic</x:v>
      </x:c>
      <x:c r="I41" s="21" t="str"/>
    </x:row>
    <x:row r="42" ht="23" customHeight="1">
      <x:c r="A42" s="24" t="str">
        <x:v>carDispose</x:v>
      </x:c>
      <x:c r="B42" s="24" t="str">
        <x:v>CarDispose</x:v>
      </x:c>
      <x:c r="C42" s="24" t="str"/>
      <x:c r="D42" s="24" t="str"/>
      <x:c r="E42" s="24" t="str"/>
      <x:c r="F42" s="24" t="str"/>
      <x:c r="G42" s="24" t="str">
        <x:v>MODEL CURRENT</x:v>
      </x:c>
      <x:c r="H42" s="24" t="str">
        <x:v>Edit the named block in AnyLogic</x:v>
      </x:c>
      <x:c r="I42" s="24" t="str"/>
    </x:row>
    <x:row r="43" ht="23" customHeight="1">
      <x:c r="A43" s="21" t="str">
        <x:v>carDispose1</x:v>
      </x:c>
      <x:c r="B43" s="21" t="str">
        <x:v>CarDispose</x:v>
      </x:c>
      <x:c r="C43" s="21" t="str"/>
      <x:c r="D43" s="21" t="str"/>
      <x:c r="E43" s="21" t="str"/>
      <x:c r="F43" s="21" t="str"/>
      <x:c r="G43" s="21" t="str">
        <x:v>MODEL CURRENT</x:v>
      </x:c>
      <x:c r="H43" s="21" t="str">
        <x:v>Edit the named block in AnyLogic</x:v>
      </x:c>
      <x:c r="I43" s="21" t="str"/>
    </x:row>
    <x:row r="44" ht="23" customHeight="1">
      <x:c r="A44" s="24" t="str">
        <x:v>carSource</x:v>
      </x:c>
      <x:c r="B44" s="24" t="str">
        <x:v>CarSource</x:v>
      </x:c>
      <x:c r="C44" s="24" t="str">
        <x:v>mainParkingOutSchedule</x:v>
      </x:c>
      <x:c r="D44" s="24" t="str">
        <x:v>CentralLibrarParkingLot</x:v>
      </x:c>
      <x:c r="E44" s="24" t="str">
        <x:v>arrival=self.RATE_SCHEDULE; schedule=mainParkingOutSchedule; rate=</x:v>
      </x:c>
      <x:c r="F44" s="24" t="str">
        <x:v>out→carMoveTo2</x:v>
      </x:c>
      <x:c r="G44" s="24" t="str">
        <x:v>MODEL CURRENT</x:v>
      </x:c>
      <x:c r="H44" s="24" t="str">
        <x:v>Edit the named block in AnyLogic</x:v>
      </x:c>
      <x:c r="I44" s="24" t="str"/>
    </x:row>
    <x:row r="45" ht="23" customHeight="1">
      <x:c r="A45" s="21" t="str">
        <x:v>carSource1</x:v>
      </x:c>
      <x:c r="B45" s="21" t="str">
        <x:v>CarSource</x:v>
      </x:c>
      <x:c r="C45" s="21" t="str">
        <x:v>secondaryParkingOutSchedule</x:v>
      </x:c>
      <x:c r="D45" s="21" t="str">
        <x:v>CuRegisOfficeParking</x:v>
      </x:c>
      <x:c r="E45" s="21" t="str">
        <x:v>arrival=self.RATE_SCHEDULE; schedule=secondaryParkingOutSchedule; rate=</x:v>
      </x:c>
      <x:c r="F45" s="21" t="str">
        <x:v>out→carMoveTo9</x:v>
      </x:c>
      <x:c r="G45" s="21" t="str">
        <x:v>MODEL CURRENT</x:v>
      </x:c>
      <x:c r="H45" s="21" t="str">
        <x:v>Edit the named block in AnyLogic</x:v>
      </x:c>
      <x:c r="I45" s="21" t="str"/>
    </x:row>
    <x:row r="46" ht="23" customHeight="1">
      <x:c r="A46" s="24" t="str">
        <x:v>carMoveTo2</x:v>
      </x:c>
      <x:c r="B46" s="24" t="str">
        <x:v>CarMoveTo</x:v>
      </x:c>
      <x:c r="C46" s="24" t="str"/>
      <x:c r="D46" s="24" t="str">
        <x:v>roadAfterMerge</x:v>
      </x:c>
      <x:c r="E46" s="24" t="str">
        <x:v>road=roadAfterMerge; stop=; move=</x:v>
      </x:c>
      <x:c r="F46" s="24" t="str">
        <x:v>out→carDispose2</x:v>
      </x:c>
      <x:c r="G46" s="24" t="str">
        <x:v>MODEL CURRENT</x:v>
      </x:c>
      <x:c r="H46" s="24" t="str">
        <x:v>Edit the named block in AnyLogic</x:v>
      </x:c>
      <x:c r="I46" s="24" t="str"/>
    </x:row>
    <x:row r="47" ht="23" customHeight="1">
      <x:c r="A47" s="21" t="str">
        <x:v>carDispose2</x:v>
      </x:c>
      <x:c r="B47" s="21" t="str">
        <x:v>CarDispose</x:v>
      </x:c>
      <x:c r="C47" s="21" t="str"/>
      <x:c r="D47" s="21" t="str"/>
      <x:c r="E47" s="21" t="str"/>
      <x:c r="F47" s="21" t="str"/>
      <x:c r="G47" s="21" t="str">
        <x:v>MODEL CURRENT</x:v>
      </x:c>
      <x:c r="H47" s="21" t="str">
        <x:v>Edit the named block in AnyLogic</x:v>
      </x:c>
      <x:c r="I47" s="21" t="str"/>
    </x:row>
    <x:row r="48" ht="23" customHeight="1">
      <x:c r="A48" s="24" t="str">
        <x:v>carMoveTo9</x:v>
      </x:c>
      <x:c r="B48" s="24" t="str">
        <x:v>CarMoveTo</x:v>
      </x:c>
      <x:c r="C48" s="24" t="str"/>
      <x:c r="D48" s="24" t="str">
        <x:v>roadAfterMerge</x:v>
      </x:c>
      <x:c r="E48" s="24" t="str">
        <x:v>road=roadAfterMerge; stop=; move=</x:v>
      </x:c>
      <x:c r="F48" s="24" t="str">
        <x:v>out→carDispose3</x:v>
      </x:c>
      <x:c r="G48" s="24" t="str">
        <x:v>MODEL CURRENT</x:v>
      </x:c>
      <x:c r="H48" s="24" t="str">
        <x:v>Edit the named block in AnyLogic</x:v>
      </x:c>
      <x:c r="I48" s="24" t="str"/>
    </x:row>
    <x:row r="49" ht="23" customHeight="1">
      <x:c r="A49" s="21" t="str">
        <x:v>carDispose3</x:v>
      </x:c>
      <x:c r="B49" s="21" t="str">
        <x:v>CarDispose</x:v>
      </x:c>
      <x:c r="C49" s="21" t="str"/>
      <x:c r="D49" s="21" t="str"/>
      <x:c r="E49" s="21" t="str"/>
      <x:c r="F49" s="21" t="str"/>
      <x:c r="G49" s="21" t="str">
        <x:v>MODEL CURRENT</x:v>
      </x:c>
      <x:c r="H49" s="21" t="str">
        <x:v>Edit the named block in AnyLogic</x:v>
      </x:c>
      <x:c r="I49" s="21" t="str"/>
    </x:row>
    <x:row r="50" ht="23" customHeight="1">
      <x:c r="A50" s="24" t="str">
        <x:v>carMoveTo10</x:v>
      </x:c>
      <x:c r="B50" s="24" t="str">
        <x:v>CarMoveTo</x:v>
      </x:c>
      <x:c r="C50" s="24" t="str"/>
      <x:c r="D50" s="24" t="str">
        <x:v>SecondEntranceRoad</x:v>
      </x:c>
      <x:c r="E50" s="24" t="str">
        <x:v>road=SecondEntranceRoad; stop=; move=</x:v>
      </x:c>
      <x:c r="F50" s="24" t="str">
        <x:v>out→sink</x:v>
      </x:c>
      <x:c r="G50" s="24" t="str">
        <x:v>MODEL CURRENT</x:v>
      </x:c>
      <x:c r="H50" s="24" t="str">
        <x:v>Edit the named block in AnyLogic</x:v>
      </x:c>
      <x:c r="I50" s="24" t="str"/>
    </x:row>
    <x:row r="51" ht="23" customHeight="1">
      <x:c r="A51" s="21" t="str">
        <x:v>carMoveTo11</x:v>
      </x:c>
      <x:c r="B51" s="21" t="str">
        <x:v>CarMoveTo</x:v>
      </x:c>
      <x:c r="C51" s="21" t="str"/>
      <x:c r="D51" s="21" t="str">
        <x:v>SecondEntranceRoad</x:v>
      </x:c>
      <x:c r="E51" s="21" t="str">
        <x:v>road=SecondEntranceRoad; stop=; move=</x:v>
      </x:c>
      <x:c r="F51" s="21" t="str">
        <x:v>out→carDispose</x:v>
      </x:c>
      <x:c r="G51" s="21" t="str">
        <x:v>MODEL CURRENT</x:v>
      </x:c>
      <x:c r="H51" s="21" t="str">
        <x:v>Edit the named block in AnyLogic</x:v>
      </x:c>
      <x:c r="I51" s="21" t="str"/>
    </x:row>
    <x:row r="52" ht="23" customHeight="1">
      <x:c r="A52" s="24" t="str">
        <x:v>carMoveTo12</x:v>
      </x:c>
      <x:c r="B52" s="24" t="str">
        <x:v>CarMoveTo</x:v>
      </x:c>
      <x:c r="C52" s="24" t="str"/>
      <x:c r="D52" s="24" t="str">
        <x:v>SecondEntranceRoad</x:v>
      </x:c>
      <x:c r="E52" s="24" t="str">
        <x:v>road=SecondEntranceRoad; stop=; move=</x:v>
      </x:c>
      <x:c r="F52" s="24" t="str">
        <x:v>out→carDispose1</x:v>
      </x:c>
      <x:c r="G52" s="24" t="str">
        <x:v>MODEL CURRENT</x:v>
      </x:c>
      <x:c r="H52" s="24" t="str">
        <x:v>Edit the named block in AnyLogic</x:v>
      </x:c>
      <x:c r="I52" s="24" t="str"/>
    </x:row>
    <x:row r="53" ht="23" customHeight="1">
      <x:c r="A53" s="21" t="str">
        <x:v>carMoveTo13</x:v>
      </x:c>
      <x:c r="B53" s="21" t="str">
        <x:v>CarMoveTo</x:v>
      </x:c>
      <x:c r="C53" s="21" t="str"/>
      <x:c r="D53" s="21" t="str">
        <x:v>SecondEntranceRoad</x:v>
      </x:c>
      <x:c r="E53" s="21" t="str">
        <x:v>road=SecondEntranceRoad; stop=; move=</x:v>
      </x:c>
      <x:c r="F53" s="21" t="str">
        <x:v>out→sink3</x:v>
      </x:c>
      <x:c r="G53" s="21" t="str">
        <x:v>MODEL CURRENT</x:v>
      </x:c>
      <x:c r="H53" s="21" t="str">
        <x:v>Edit the named block in AnyLogic</x:v>
      </x:c>
      <x:c r="I53" s="21" t="str"/>
    </x:row>
    <x:row r="54" ht="23" customHeight="1">
      <x:c r="A54" s="24" t="str">
        <x:v>carMoveTo14</x:v>
      </x:c>
      <x:c r="B54" s="24" t="str">
        <x:v>CarMoveTo</x:v>
      </x:c>
      <x:c r="C54" s="24" t="str"/>
      <x:c r="D54" s="24" t="str">
        <x:v>SecondEntranceRoad</x:v>
      </x:c>
      <x:c r="E54" s="24" t="str">
        <x:v>road=SecondEntranceRoad; stop=; move=</x:v>
      </x:c>
      <x:c r="F54" s="24" t="str">
        <x:v>out→sink2</x:v>
      </x:c>
      <x:c r="G54" s="24" t="str">
        <x:v>MODEL CURRENT</x:v>
      </x:c>
      <x:c r="H54" s="24" t="str">
        <x:v>Edit the named block in AnyLogic</x:v>
      </x:c>
      <x:c r="I54" s="24" t="str"/>
    </x:row>
    <x:row r="55" ht="23" customHeight="1">
      <x:c r="A55" s="21" t="str">
        <x:v>carMoveTo15</x:v>
      </x:c>
      <x:c r="B55" s="21" t="str">
        <x:v>CarMoveTo</x:v>
      </x:c>
      <x:c r="C55" s="21" t="str"/>
      <x:c r="D55" s="21" t="str">
        <x:v>SecondEntranceRoad</x:v>
      </x:c>
      <x:c r="E55" s="21" t="str">
        <x:v>road=SecondEntranceRoad; stop=; move=</x:v>
      </x:c>
      <x:c r="F55" s="21" t="str">
        <x:v>out→selectOutput4</x:v>
      </x:c>
      <x:c r="G55" s="21" t="str">
        <x:v>MODEL CURRENT</x:v>
      </x:c>
      <x:c r="H55" s="21" t="str">
        <x:v>Edit the named block in AnyLogic</x:v>
      </x:c>
      <x:c r="I55" s="21" t="str">
        <x:v>Earlier error: end-of-road routing via selectOutput4; verify after edits</x:v>
      </x:c>
    </x:row>
    <x:row r="56" ht="23" customHeight="1">
      <x:c r="A56" s="24" t="str">
        <x:v>pedEntrance2Source</x:v>
      </x:c>
      <x:c r="B56" s="24" t="str">
        <x:v>PedSource</x:v>
      </x:c>
      <x:c r="C56" s="24" t="str">
        <x:v>pedRateSchedule</x:v>
      </x:c>
      <x:c r="D56" s="24" t="str">
        <x:v>pedOpposite2</x:v>
      </x:c>
      <x:c r="E56" s="24" t="str">
        <x:v>arrival=self.RATE_SCHEDULE; schedule=pedRateSchedule; rate=pedArrivalRate()</x:v>
      </x:c>
      <x:c r="F56" s="24" t="str">
        <x:v>out→pedGoToWait1</x:v>
      </x:c>
      <x:c r="G56" s="24" t="str">
        <x:v>MODEL CURRENT</x:v>
      </x:c>
      <x:c r="H56" s="24" t="str">
        <x:v>Edit the named block in AnyLogic</x:v>
      </x:c>
      <x:c r="I56" s="24" t="str">
        <x:v>Currently linked to main pedRateSchedule, not second gate mock</x:v>
      </x:c>
    </x:row>
    <x:row r="57" ht="23" customHeight="1">
      <x:c r="A57" s="21" t="str">
        <x:v>pedSink1</x:v>
      </x:c>
      <x:c r="B57" s="21" t="str">
        <x:v>PedSink</x:v>
      </x:c>
      <x:c r="C57" s="21" t="str"/>
      <x:c r="D57" s="21" t="str"/>
      <x:c r="E57" s="21" t="str"/>
      <x:c r="F57" s="21" t="str"/>
      <x:c r="G57" s="21" t="str">
        <x:v>MODEL CURRENT</x:v>
      </x:c>
      <x:c r="H57" s="21" t="str">
        <x:v>Edit the named block in AnyLogic</x:v>
      </x:c>
      <x:c r="I57" s="21" t="str"/>
    </x:row>
    <x:row r="58" ht="23" customHeight="1">
      <x:c r="A58" s="24" t="str">
        <x:v>pedWait1</x:v>
      </x:c>
      <x:c r="B58" s="24" t="str">
        <x:v>PedWait</x:v>
      </x:c>
      <x:c r="C58" s="24" t="str"/>
      <x:c r="D58" s="24" t="str">
        <x:v>pedWaitOpposite2</x:v>
      </x:c>
      <x:c r="E58" s="24" t="str"/>
      <x:c r="F58" s="24" t="str">
        <x:v>out→pedGoToSchool1</x:v>
      </x:c>
      <x:c r="G58" s="24" t="str">
        <x:v>MODEL CURRENT</x:v>
      </x:c>
      <x:c r="H58" s="24" t="str">
        <x:v>Edit the named block in AnyLogic</x:v>
      </x:c>
      <x:c r="I58" s="24" t="str"/>
    </x:row>
    <x:row r="59" ht="23" customHeight="1">
      <x:c r="A59" s="21" t="str">
        <x:v>carMoveTo_R6</x:v>
      </x:c>
      <x:c r="B59" s="21" t="str">
        <x:v>CarMoveTo</x:v>
      </x:c>
      <x:c r="C59" s="21" t="str"/>
      <x:c r="D59" s="21" t="str">
        <x:v>SecondStopLine1</x:v>
      </x:c>
      <x:c r="E59" s="21" t="str">
        <x:v>road=; stop=SecondStopLine1; move=self.STOP_LINE</x:v>
      </x:c>
      <x:c r="F59" s="21" t="str">
        <x:v>out→delay2</x:v>
      </x:c>
      <x:c r="G59" s="21" t="str">
        <x:v>MODEL CURRENT</x:v>
      </x:c>
      <x:c r="H59" s="21" t="str">
        <x:v>Edit the named block in AnyLogic</x:v>
      </x:c>
      <x:c r="I59" s="21" t="str"/>
    </x:row>
    <x:row r="60" ht="23" customHeight="1">
      <x:c r="A60" s="24" t="str">
        <x:v>carMoveTo_R7</x:v>
      </x:c>
      <x:c r="B60" s="24" t="str">
        <x:v>CarMoveTo</x:v>
      </x:c>
      <x:c r="C60" s="24" t="str"/>
      <x:c r="D60" s="24" t="str">
        <x:v>SecondStopLine2</x:v>
      </x:c>
      <x:c r="E60" s="24" t="str">
        <x:v>road=; stop=SecondStopLine2; move=self.STOP_LINE</x:v>
      </x:c>
      <x:c r="F60" s="24" t="str">
        <x:v>out→delay2</x:v>
      </x:c>
      <x:c r="G60" s="24" t="str">
        <x:v>MODEL CURRENT</x:v>
      </x:c>
      <x:c r="H60" s="24" t="str">
        <x:v>Edit the named block in AnyLogic</x:v>
      </x:c>
      <x:c r="I60" s="24" t="str"/>
    </x:row>
    <x:row r="61" ht="23" customHeight="1">
      <x:c r="A61" s="21" t="str">
        <x:v>carMoveTo_R8</x:v>
      </x:c>
      <x:c r="B61" s="21" t="str">
        <x:v>CarMoveTo</x:v>
      </x:c>
      <x:c r="C61" s="21" t="str"/>
      <x:c r="D61" s="21" t="str">
        <x:v>SecondStopLine3</x:v>
      </x:c>
      <x:c r="E61" s="21" t="str">
        <x:v>road=; stop=SecondStopLine3; move=self.STOP_LINE</x:v>
      </x:c>
      <x:c r="F61" s="21" t="str">
        <x:v>out→delay2</x:v>
      </x:c>
      <x:c r="G61" s="21" t="str">
        <x:v>MODEL CURRENT</x:v>
      </x:c>
      <x:c r="H61" s="21" t="str">
        <x:v>Edit the named block in AnyLogic</x:v>
      </x:c>
      <x:c r="I61" s="21" t="str"/>
    </x:row>
    <x:row r="62" ht="23" customHeight="1">
      <x:c r="A62" s="24" t="str">
        <x:v>carMoveTo_R9</x:v>
      </x:c>
      <x:c r="B62" s="24" t="str">
        <x:v>CarMoveTo</x:v>
      </x:c>
      <x:c r="C62" s="24" t="str"/>
      <x:c r="D62" s="24" t="str">
        <x:v>SecondStopLine4</x:v>
      </x:c>
      <x:c r="E62" s="24" t="str">
        <x:v>road=; stop=SecondStopLine4; move=self.STOP_LINE</x:v>
      </x:c>
      <x:c r="F62" s="24" t="str">
        <x:v>out→delay2</x:v>
      </x:c>
      <x:c r="G62" s="24" t="str">
        <x:v>MODEL CURRENT</x:v>
      </x:c>
      <x:c r="H62" s="24" t="str">
        <x:v>Edit the named block in AnyLogic</x:v>
      </x:c>
      <x:c r="I62" s="24" t="str"/>
    </x:row>
    <x:row r="63" ht="23" customHeight="1">
      <x:c r="A63" s="21" t="str">
        <x:v>carMoveTo_R10</x:v>
      </x:c>
      <x:c r="B63" s="21" t="str">
        <x:v>CarMoveTo</x:v>
      </x:c>
      <x:c r="C63" s="21" t="str"/>
      <x:c r="D63" s="21" t="str">
        <x:v>SecondStopLine5</x:v>
      </x:c>
      <x:c r="E63" s="21" t="str">
        <x:v>road=; stop=SecondStopLine5; move=self.STOP_LINE</x:v>
      </x:c>
      <x:c r="F63" s="21" t="str">
        <x:v>out→delay2</x:v>
      </x:c>
      <x:c r="G63" s="21" t="str">
        <x:v>MODEL CURRENT</x:v>
      </x:c>
      <x:c r="H63" s="21" t="str">
        <x:v>Edit the named block in AnyLogic</x:v>
      </x:c>
      <x:c r="I63" s="21" t="str"/>
    </x:row>
    <x:row r="64" ht="23" customHeight="1">
      <x:c r="A64" s="24" t="str">
        <x:v>carExit4</x:v>
      </x:c>
      <x:c r="B64" s="24" t="str">
        <x:v>CarExit</x:v>
      </x:c>
      <x:c r="C64" s="24" t="str"/>
      <x:c r="D64" s="24" t="str"/>
      <x:c r="E64" s="24" t="str"/>
      <x:c r="F64" s="24" t="str">
        <x:v>out→sink6</x:v>
      </x:c>
      <x:c r="G64" s="24" t="str">
        <x:v>MODEL CURRENT</x:v>
      </x:c>
      <x:c r="H64" s="24" t="str">
        <x:v>Edit the named block in AnyLogic</x:v>
      </x:c>
      <x:c r="I64" s="24" t="str"/>
    </x:row>
  </x:sheetData>
  <x:mergeCells>
    <x:mergeCell ref="A1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72" hidden="0" customWidth="1"/>
    <x:col min="4" max="4" width="25" hidden="0" customWidth="1"/>
    <x:col min="5" max="5" width="25" hidden="0" customWidth="1"/>
    <x:col min="6" max="6" width="23" hidden="0" customWidth="1"/>
    <x:col min="7" max="7" width="16" hidden="0" customWidth="1"/>
    <x:col min="8" max="8" width="72" hidden="0" customWidth="1"/>
  </x:cols>
  <x:sheetData>
    <x:row r="1" ht="22" customHeight="1">
      <x:c r="A1" s="4" t="str">
        <x:v>08  •  KPI BASELINE ↔ PROPOSED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9" t="str">
        <x:v>Only some historic baselines available; blank Baseline run cells must be filled from a successful, newly frozen 100-min simulation. DO NOT treat historic values as current run outputs.</x:v>
      </x:c>
      <x:c r="B3" s="9"/>
      <x:c r="C3" s="9"/>
      <x:c r="D3" s="9"/>
      <x:c r="E3" s="9"/>
      <x:c r="F3" s="9"/>
      <x:c r="G3" s="9"/>
      <x:c r="H3" s="9"/>
    </x:row>
    <x:row r="4" ht="34" customHeight="1">
      <x:c r="A4" s="15" t="str">
        <x:v>Category</x:v>
      </x:c>
      <x:c r="B4" s="15" t="str">
        <x:v>Metric</x:v>
      </x:c>
      <x:c r="C4" s="15" t="str">
        <x:v>Measurement recipe</x:v>
      </x:c>
      <x:c r="D4" s="15" t="str">
        <x:v>Benchmark / target</x:v>
      </x:c>
      <x:c r="E4" s="15" t="str">
        <x:v>Baseline run (EDIT)</x:v>
      </x:c>
      <x:c r="F4" s="15" t="str">
        <x:v>Benchmark status</x:v>
      </x:c>
      <x:c r="G4" s="15" t="str">
        <x:v>Unit</x:v>
      </x:c>
      <x:c r="H4" s="15" t="str">
        <x:v>Notes</x:v>
      </x:c>
    </x:row>
    <x:row r="5" ht="23" customHeight="1">
      <x:c r="A5" s="21" t="str">
        <x:v>Pedestrians</x:v>
      </x:c>
      <x:c r="B5" s="21" t="str">
        <x:v>Ped arrival count – main</x:v>
      </x:c>
      <x:c r="C5" s="21" t="str">
        <x:v>Count pedEntrance1Source onExit</x:v>
      </x:c>
      <x:c r="D5" s="21" t="n">
        <x:v>889</x:v>
      </x:c>
      <x:c r="E5" s="26"/>
      <x:c r="F5" s="21" t="str">
        <x:v>FIELD</x:v>
      </x:c>
      <x:c r="G5" s="21" t="str">
        <x:v>count</x:v>
      </x:c>
      <x:c r="H5" s="21" t="str">
        <x:v>Target ≈889 / 100min</x:v>
      </x:c>
    </x:row>
    <x:row r="6" ht="23" customHeight="1">
      <x:c r="A6" s="24" t="str">
        <x:v>Pedestrians</x:v>
      </x:c>
      <x:c r="B6" s="24" t="str">
        <x:v>Ped arrival count – second</x:v>
      </x:c>
      <x:c r="C6" s="24" t="str">
        <x:v>Count pedEntrance2Source onExit</x:v>
      </x:c>
      <x:c r="D6" s="24" t="n">
        <x:v>222</x:v>
      </x:c>
      <x:c r="E6" s="26"/>
      <x:c r="F6" s="24" t="str">
        <x:v>MOCK</x:v>
      </x:c>
      <x:c r="G6" s="24" t="str">
        <x:v>count</x:v>
      </x:c>
      <x:c r="H6" s="24" t="str">
        <x:v>Separate per-gate count; current source shares main schedule</x:v>
      </x:c>
    </x:row>
    <x:row r="7" ht="23" customHeight="1">
      <x:c r="A7" s="21" t="str">
        <x:v>Pedestrians</x:v>
      </x:c>
      <x:c r="B7" s="21" t="str">
        <x:v>Avg ped wait – main</x:v>
      </x:c>
      <x:c r="C7" s="21" t="str">
        <x:v>Total waiting seconds / released pedestrians at pedWait</x:v>
      </x:c>
      <x:c r="D7" s="21" t="n">
        <x:v>12.93</x:v>
      </x:c>
      <x:c r="E7" s="26"/>
      <x:c r="F7" s="21" t="str">
        <x:v>OLDER SIM</x:v>
      </x:c>
      <x:c r="G7" s="21" t="str">
        <x:v>seconds</x:v>
      </x:c>
      <x:c r="H7" s="21" t="str">
        <x:v>12.93 historical run, must re-run latest baseline</x:v>
      </x:c>
    </x:row>
    <x:row r="8" ht="23" customHeight="1">
      <x:c r="A8" s="24" t="str">
        <x:v>Pedestrians</x:v>
      </x:c>
      <x:c r="B8" s="24" t="str">
        <x:v>Avg ped wait – second</x:v>
      </x:c>
      <x:c r="C8" s="24" t="str">
        <x:v>Total waiting seconds / released pedestrians at pedWait1</x:v>
      </x:c>
      <x:c r="D8" s="24"/>
      <x:c r="E8" s="26"/>
      <x:c r="F8" s="24" t="str">
        <x:v>NOT MEASURED</x:v>
      </x:c>
      <x:c r="G8" s="24" t="str">
        <x:v>seconds</x:v>
      </x:c>
      <x:c r="H8" s="24" t="str">
        <x:v>Define separate accumulators, check release event</x:v>
      </x:c>
    </x:row>
    <x:row r="9" ht="23" customHeight="1">
      <x:c r="A9" s="21" t="str">
        <x:v>Pedestrians</x:v>
      </x:c>
      <x:c r="B9" s="21" t="str">
        <x:v>P95 ped wait – main</x:v>
      </x:c>
      <x:c r="C9" s="21" t="str">
        <x:v>Percentile of pedWait waiting-time samples</x:v>
      </x:c>
      <x:c r="D9" s="21"/>
      <x:c r="E9" s="26"/>
      <x:c r="F9" s="21" t="str">
        <x:v>NOT MEASURED</x:v>
      </x:c>
      <x:c r="G9" s="21" t="str">
        <x:v>seconds</x:v>
      </x:c>
      <x:c r="H9" s="21" t="str">
        <x:v>Record per pedestrian to dataset</x:v>
      </x:c>
    </x:row>
    <x:row r="10" ht="23" customHeight="1">
      <x:c r="A10" s="24" t="str">
        <x:v>Pedestrians</x:v>
      </x:c>
      <x:c r="B10" s="24" t="str">
        <x:v>P95 ped wait – second</x:v>
      </x:c>
      <x:c r="C10" s="24" t="str">
        <x:v>Percentile of pedWait1 waiting-time samples</x:v>
      </x:c>
      <x:c r="D10" s="24"/>
      <x:c r="E10" s="26"/>
      <x:c r="F10" s="24" t="str">
        <x:v>NOT MEASURED</x:v>
      </x:c>
      <x:c r="G10" s="24" t="str">
        <x:v>seconds</x:v>
      </x:c>
      <x:c r="H10" s="24" t="str">
        <x:v>Record per pedestrian to dataset</x:v>
      </x:c>
    </x:row>
    <x:row r="11" ht="23" customHeight="1">
      <x:c r="A11" s="21" t="str">
        <x:v>Pedestrians</x:v>
      </x:c>
      <x:c r="B11" s="21" t="str">
        <x:v>Ped crossing throughput – main</x:v>
      </x:c>
      <x:c r="C11" s="21" t="str">
        <x:v>pedGoToSchool or PedSink counter per 100min</x:v>
      </x:c>
      <x:c r="D11" s="21" t="n">
        <x:v>887</x:v>
      </x:c>
      <x:c r="E11" s="26"/>
      <x:c r="F11" s="21" t="str">
        <x:v>OLDER SIM</x:v>
      </x:c>
      <x:c r="G11" s="21" t="str">
        <x:v>people</x:v>
      </x:c>
      <x:c r="H11" s="21" t="str">
        <x:v>Historical result, not latest</x:v>
      </x:c>
    </x:row>
    <x:row r="12" ht="23" customHeight="1">
      <x:c r="A12" s="24" t="str">
        <x:v>Pedestrians</x:v>
      </x:c>
      <x:c r="B12" s="24" t="str">
        <x:v>Ped crossing throughput – second</x:v>
      </x:c>
      <x:c r="C12" s="24" t="str">
        <x:v>Second gate PedSink count</x:v>
      </x:c>
      <x:c r="D12" s="24"/>
      <x:c r="E12" s="26"/>
      <x:c r="F12" s="24" t="str">
        <x:v>NOT MEASURED</x:v>
      </x:c>
      <x:c r="G12" s="24" t="str">
        <x:v>people</x:v>
      </x:c>
      <x:c r="H12" s="24" t="str">
        <x:v>Must stop pedestrians on RED and release safely</x:v>
      </x:c>
    </x:row>
    <x:row r="13" ht="23" customHeight="1">
      <x:c r="A13" s="21" t="str">
        <x:v>Vehicles</x:v>
      </x:c>
      <x:c r="B13" s="21" t="str">
        <x:v>Vehicle demand – main upstream</x:v>
      </x:c>
      <x:c r="C13" s="21" t="str">
        <x:v>CarRightPhayathai + CarLeftPhayathai onExit</x:v>
      </x:c>
      <x:c r="D13" s="21" t="n">
        <x:v>764.5</x:v>
      </x:c>
      <x:c r="E13" s="26"/>
      <x:c r="F13" s="21" t="str">
        <x:v>MODEL INFERRED</x:v>
      </x:c>
      <x:c r="G13" s="21" t="str">
        <x:v>cars</x:v>
      </x:c>
      <x:c r="H13" s="21" t="str">
        <x:v>Corrected if hourly source numbers; not observed</x:v>
      </x:c>
    </x:row>
    <x:row r="14" ht="23" customHeight="1">
      <x:c r="A14" s="24" t="str">
        <x:v>Vehicles</x:v>
      </x:c>
      <x:c r="B14" s="24" t="str">
        <x:v>Side-road arrivals</x:v>
      </x:c>
      <x:c r="C14" s="24" t="str">
        <x:v>CarLeftSecond + CarRightSecond onExit</x:v>
      </x:c>
      <x:c r="D14" s="24" t="n">
        <x:v>523</x:v>
      </x:c>
      <x:c r="E14" s="26"/>
      <x:c r="F14" s="24" t="str">
        <x:v>FIELD</x:v>
      </x:c>
      <x:c r="G14" s="24" t="str">
        <x:v>cars</x:v>
      </x:c>
      <x:c r="H14" s="24" t="str">
        <x:v>172+351; requires fix source links/units</x:v>
      </x:c>
    </x:row>
    <x:row r="15" ht="23" customHeight="1">
      <x:c r="A15" s="21" t="str">
        <x:v>Vehicles</x:v>
      </x:c>
      <x:c r="B15" s="21" t="str">
        <x:v>Avg vehicle delay</x:v>
      </x:c>
      <x:c r="C15" s="21" t="str">
        <x:v>Actual travel time - free-flow travel time by route</x:v>
      </x:c>
      <x:c r="D15" s="21"/>
      <x:c r="E15" s="26"/>
      <x:c r="F15" s="21" t="str">
        <x:v>NOT MEASURED</x:v>
      </x:c>
      <x:c r="G15" s="21" t="str">
        <x:v>seconds</x:v>
      </x:c>
      <x:c r="H15" s="21" t="str">
        <x:v>Route-specific reference time crucial</x:v>
      </x:c>
    </x:row>
    <x:row r="16" ht="23" customHeight="1">
      <x:c r="A16" s="24" t="str">
        <x:v>Vehicles</x:v>
      </x:c>
      <x:c r="B16" s="24" t="str">
        <x:v>P95 vehicle delay</x:v>
      </x:c>
      <x:c r="C16" s="24" t="str">
        <x:v>P95 of individual delay samples</x:v>
      </x:c>
      <x:c r="D16" s="24"/>
      <x:c r="E16" s="26"/>
      <x:c r="F16" s="24" t="str">
        <x:v>NOT MEASURED</x:v>
      </x:c>
      <x:c r="G16" s="24" t="str">
        <x:v>seconds</x:v>
      </x:c>
      <x:c r="H16" s="24" t="str">
        <x:v>Record per car</x:v>
      </x:c>
    </x:row>
    <x:row r="17" ht="23" customHeight="1">
      <x:c r="A17" s="21" t="str">
        <x:v>Vehicles</x:v>
      </x:c>
      <x:c r="B17" s="21" t="str">
        <x:v>Vehicles completed/100min</x:v>
      </x:c>
      <x:c r="C17" s="21" t="str">
        <x:v>Sum terminal CarDispose/CarExit→Sink</x:v>
      </x:c>
      <x:c r="D17" s="21"/>
      <x:c r="E17" s="26"/>
      <x:c r="F17" s="21" t="str">
        <x:v>NOT MEASURED</x:v>
      </x:c>
      <x:c r="G17" s="21" t="str">
        <x:v>cars</x:v>
      </x:c>
      <x:c r="H17" s="21" t="str">
        <x:v>Avoid counting earlier exits as completed downstream</x:v>
      </x:c>
    </x:row>
    <x:row r="18" ht="23" customHeight="1">
      <x:c r="A18" s="24" t="str">
        <x:v>Queues</x:v>
      </x:c>
      <x:c r="B18" s="24" t="str">
        <x:v>Mean queue – main zebra</x:v>
      </x:c>
      <x:c r="C18" s="24" t="str">
        <x:v>Time-average queue count on approach</x:v>
      </x:c>
      <x:c r="D18" s="24"/>
      <x:c r="E18" s="26"/>
      <x:c r="F18" s="24" t="str">
        <x:v>NOT MEASURED</x:v>
      </x:c>
      <x:c r="G18" s="24" t="str">
        <x:v>vehicles</x:v>
      </x:c>
      <x:c r="H18" s="24" t="str">
        <x:v>Specify detection area &amp; stopped-speed threshold</x:v>
      </x:c>
    </x:row>
    <x:row r="19" ht="23" customHeight="1">
      <x:c r="A19" s="21" t="str">
        <x:v>Queues</x:v>
      </x:c>
      <x:c r="B19" s="21" t="str">
        <x:v>Max queue – main zebra</x:v>
      </x:c>
      <x:c r="C19" s="21" t="str">
        <x:v>Maximum stopped vehicles or queue meters</x:v>
      </x:c>
      <x:c r="D19" s="21"/>
      <x:c r="E19" s="26"/>
      <x:c r="F19" s="21" t="str">
        <x:v>NOT MEASURED</x:v>
      </x:c>
      <x:c r="G19" s="21" t="str">
        <x:v>vehicles</x:v>
      </x:c>
      <x:c r="H19" s="21" t="str">
        <x:v>Also record spillback</x:v>
      </x:c>
    </x:row>
    <x:row r="20" ht="23" customHeight="1">
      <x:c r="A20" s="24" t="str">
        <x:v>Queues</x:v>
      </x:c>
      <x:c r="B20" s="24" t="str">
        <x:v>Mean queue – second zebra</x:v>
      </x:c>
      <x:c r="C20" s="24" t="str">
        <x:v>Time-average queue count</x:v>
      </x:c>
      <x:c r="D20" s="24"/>
      <x:c r="E20" s="26"/>
      <x:c r="F20" s="24" t="str">
        <x:v>NOT MEASURED</x:v>
      </x:c>
      <x:c r="G20" s="24" t="str">
        <x:v>vehicles</x:v>
      </x:c>
      <x:c r="H20" s="24" t="str">
        <x:v>Only relevant if second zebra controlled</x:v>
      </x:c>
    </x:row>
    <x:row r="21" ht="23" customHeight="1">
      <x:c r="A21" s="21" t="str">
        <x:v>Queues</x:v>
      </x:c>
      <x:c r="B21" s="21" t="str">
        <x:v>Max second-dropoff queue</x:v>
      </x:c>
      <x:c r="C21" s="21" t="str">
        <x:v>Peak number waiting for curbSpot2_L</x:v>
      </x:c>
      <x:c r="D21" s="21"/>
      <x:c r="E21" s="26"/>
      <x:c r="F21" s="21" t="str">
        <x:v>NOT MEASURED</x:v>
      </x:c>
      <x:c r="G21" s="21" t="str">
        <x:v>vehicles</x:v>
      </x:c>
      <x:c r="H21" s="21" t="str">
        <x:v>Seize2.queue length if applicable</x:v>
      </x:c>
    </x:row>
    <x:row r="22" ht="23" customHeight="1">
      <x:c r="A22" s="24" t="str">
        <x:v>Drop-off</x:v>
      </x:c>
      <x:c r="B22" s="24" t="str">
        <x:v>Main entrance dropoffs</x:v>
      </x:c>
      <x:c r="C22" s="24" t="str">
        <x:v>Count delays/dwell completions at main entrance</x:v>
      </x:c>
      <x:c r="D22" s="24" t="n">
        <x:v>348</x:v>
      </x:c>
      <x:c r="E22" s="26"/>
      <x:c r="F22" s="24" t="str">
        <x:v>FIELD</x:v>
      </x:c>
      <x:c r="G22" s="24" t="str">
        <x:v>cars</x:v>
      </x:c>
      <x:c r="H22" s="24" t="str">
        <x:v>Observed historical 18 Aug; model validation needed</x:v>
      </x:c>
    </x:row>
    <x:row r="23" ht="23" customHeight="1">
      <x:c r="A23" s="21" t="str">
        <x:v>Drop-off</x:v>
      </x:c>
      <x:c r="B23" s="21" t="str">
        <x:v>Second entrance dropoffs</x:v>
      </x:c>
      <x:c r="C23" s="21" t="str">
        <x:v>Count delay2 exits</x:v>
      </x:c>
      <x:c r="D23" s="21" t="n">
        <x:v>105</x:v>
      </x:c>
      <x:c r="E23" s="26"/>
      <x:c r="F23" s="21" t="str">
        <x:v>MOCK</x:v>
      </x:c>
      <x:c r="G23" s="21" t="str">
        <x:v>cars</x:v>
      </x:c>
      <x:c r="H23" s="21" t="str">
        <x:v>Not 105 additional sourced cars; target from existing left-turn traffic</x:v>
      </x:c>
    </x:row>
    <x:row r="24" ht="23" customHeight="1">
      <x:c r="A24" s="24" t="str">
        <x:v>Drop-off</x:v>
      </x:c>
      <x:c r="B24" s="24" t="str">
        <x:v>P95 drop-off dwell – main</x:v>
      </x:c>
      <x:c r="C24" s="24" t="str">
        <x:v>P95 observed/simulated dwell time</x:v>
      </x:c>
      <x:c r="D24" s="24" t="n">
        <x:v>27.4</x:v>
      </x:c>
      <x:c r="E24" s="26"/>
      <x:c r="F24" s="24" t="str">
        <x:v>FIELD</x:v>
      </x:c>
      <x:c r="G24" s="24" t="str">
        <x:v>seconds</x:v>
      </x:c>
      <x:c r="H24" s="24" t="str">
        <x:v>Field observation 18 Aug</x:v>
      </x:c>
    </x:row>
    <x:row r="25" ht="23" customHeight="1">
      <x:c r="A25" s="21" t="str">
        <x:v>Crossing</x:v>
      </x:c>
      <x:c r="B25" s="21" t="str">
        <x:v>Main crossing activations</x:v>
      </x:c>
      <x:c r="C25" s="21" t="str">
        <x:v>Count phases where Crossroad becomes RED</x:v>
      </x:c>
      <x:c r="D25" s="21" t="n">
        <x:v>156</x:v>
      </x:c>
      <x:c r="E25" s="26"/>
      <x:c r="F25" s="21" t="str">
        <x:v>FIELD</x:v>
      </x:c>
      <x:c r="G25" s="21" t="str">
        <x:v>intervals</x:v>
      </x:c>
      <x:c r="H25" s="21" t="str">
        <x:v>Prior simulation ~151; current file has same random timing</x:v>
      </x:c>
    </x:row>
    <x:row r="26" ht="23" customHeight="1">
      <x:c r="A26" s="24" t="str">
        <x:v>Crossing</x:v>
      </x:c>
      <x:c r="B26" s="24" t="str">
        <x:v>Second crossing activations</x:v>
      </x:c>
      <x:c r="C26" s="24" t="str">
        <x:v>Count second signal pedestrian phases</x:v>
      </x:c>
      <x:c r="D26" s="24"/>
      <x:c r="E26" s="26"/>
      <x:c r="F26" s="24" t="str">
        <x:v>NOT MEASURED</x:v>
      </x:c>
      <x:c r="G26" s="24" t="str">
        <x:v>intervals</x:v>
      </x:c>
      <x:c r="H26" s="24" t="str">
        <x:v>One trafficLight object in file</x:v>
      </x:c>
    </x:row>
    <x:row r="27" ht="23" customHeight="1">
      <x:c r="A27" s="21" t="str">
        <x:v>Safety</x:v>
      </x:c>
      <x:c r="B27" s="21" t="str">
        <x:v>Unsafe clearance intervals – main</x:v>
      </x:c>
      <x:c r="C27" s="21" t="str">
        <x:v>Count protected crossings shorter than required clearance time</x:v>
      </x:c>
      <x:c r="D27" s="21"/>
      <x:c r="E27" s="26"/>
      <x:c r="F27" s="21" t="str">
        <x:v>NOT MEASURED</x:v>
      </x:c>
      <x:c r="G27" s="21" t="str">
        <x:v>intervals</x:v>
      </x:c>
      <x:c r="H27" s="21" t="str">
        <x:v>Need width and speed conservative threshold</x:v>
      </x:c>
    </x:row>
    <x:row r="28" ht="23" customHeight="1">
      <x:c r="A28" s="24" t="str">
        <x:v>Safety</x:v>
      </x:c>
      <x:c r="B28" s="24" t="str">
        <x:v>Vehicle–ped conflict surrogate</x:v>
      </x:c>
      <x:c r="C28" s="24" t="str">
        <x:v>Count conflicting occupancy of zebra and car movement</x:v>
      </x:c>
      <x:c r="D28" s="24"/>
      <x:c r="E28" s="26"/>
      <x:c r="F28" s="24" t="str">
        <x:v>NOT MEASURED</x:v>
      </x:c>
      <x:c r="G28" s="24" t="str">
        <x:v>events</x:v>
      </x:c>
      <x:c r="H28" s="24" t="str">
        <x:v>Specify detection method, avoid implying real crash risk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92" hidden="0" customWidth="1"/>
    <x:col min="4" max="4" width="23" hidden="0" customWidth="1"/>
    <x:col min="5" max="5" width="99" hidden="0" customWidth="1"/>
    <x:col min="6" max="6" width="24" hidden="0" customWidth="1"/>
    <x:col min="7" max="7" width="82" hidden="0" customWidth="1"/>
  </x:cols>
  <x:sheetData>
    <x:row r="1" ht="22" customHeight="1">
      <x:c r="A1" s="4" t="str">
        <x:v>09  •  BASELINE PRE-FREEZE QA / WARNINGS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4" customHeight="1">
      <x:c r="A3" s="9" t="str">
        <x:v>Warnings derived by inspecting the uploaded .alp and comparing known field/mock records. Verify latest AnyLogic editor state if it has changed since upload.</x:v>
      </x:c>
      <x:c r="B3" s="9"/>
      <x:c r="C3" s="9"/>
      <x:c r="D3" s="9"/>
      <x:c r="E3" s="9"/>
      <x:c r="F3" s="9"/>
      <x:c r="G3" s="9"/>
    </x:row>
    <x:row r="4" ht="34" customHeight="1">
      <x:c r="A4" s="15" t="str">
        <x:v>Severity</x:v>
      </x:c>
      <x:c r="B4" s="15" t="str">
        <x:v>AnyLogic object</x:v>
      </x:c>
      <x:c r="C4" s="15" t="str">
        <x:v>Evidence / issue</x:v>
      </x:c>
      <x:c r="D4" s="15" t="str">
        <x:v>Source type</x:v>
      </x:c>
      <x:c r="E4" s="15" t="str">
        <x:v>Fix / verification procedure</x:v>
      </x:c>
      <x:c r="F4" s="15" t="str">
        <x:v>Team status (EDIT)</x:v>
      </x:c>
      <x:c r="G4" s="15" t="str">
        <x:v>Context</x:v>
      </x:c>
    </x:row>
    <x:row r="5" ht="28" customHeight="1">
      <x:c r="A5" s="21" t="str">
        <x:v>BLOCKER</x:v>
      </x:c>
      <x:c r="B5" s="21" t="str">
        <x:v>carRateSchedule_Left / Right</x:v>
      </x:c>
      <x:c r="C5" s="21" t="str">
        <x:v>PER_MINUTE but rate values look like veh/hour; causes ~60× cars if interpretation is hourly</x:v>
      </x:c>
      <x:c r="D5" s="21" t="str">
        <x:v>MODEL XML</x:v>
      </x:c>
      <x:c r="E5" s="21" t="str">
        <x:v>Change units to PER_HOUR and retain values, or divide values by 60 keeping PER_MINUTE</x:v>
      </x:c>
      <x:c r="F5" s="26" t="str">
        <x:v>VERIFY</x:v>
      </x:c>
      <x:c r="G5" s="21" t="str">
        <x:v>Do NOT treat inferred hourly as observed road counts</x:v>
      </x:c>
    </x:row>
    <x:row r="6" ht="28" customHeight="1">
      <x:c r="A6" s="24" t="str">
        <x:v>BLOCKER</x:v>
      </x:c>
      <x:c r="B6" s="24" t="str">
        <x:v>SecondRoadSchedule_Right</x:v>
      </x:c>
      <x:c r="C6" s="24" t="str">
        <x:v>PER_SECOND while 0.8..5.533 intended per minute</x:v>
      </x:c>
      <x:c r="D6" s="24" t="str">
        <x:v>MODEL XML</x:v>
      </x:c>
      <x:c r="E6" s="24" t="str">
        <x:v>Change unit to PER_MINUTE</x:v>
      </x:c>
      <x:c r="F6" s="26" t="str">
        <x:v>OPEN</x:v>
      </x:c>
      <x:c r="G6" s="24" t="str">
        <x:v>Potential 60× error if schedule linked</x:v>
      </x:c>
    </x:row>
    <x:row r="7" ht="28" customHeight="1">
      <x:c r="A7" s="21" t="str">
        <x:v>BLOCKER</x:v>
      </x:c>
      <x:c r="B7" s="21" t="str">
        <x:v>CarLeftSecond / CarRightSecond</x:v>
      </x:c>
      <x:c r="C7" s="21" t="str">
        <x:v>CarSource rate fixed at 3 PER_MINUTE; no schedule references</x:v>
      </x:c>
      <x:c r="D7" s="21" t="str">
        <x:v>MODEL XML</x:v>
      </x:c>
      <x:c r="E7" s="21" t="str">
        <x:v>Set Arrivals defined by Rate schedule → SecondRoadSchedule_Left/Right</x:v>
      </x:c>
      <x:c r="F7" s="26" t="str">
        <x:v>OPEN</x:v>
      </x:c>
      <x:c r="G7" s="21" t="str">
        <x:v>Confirm physical lane mapping before linking</x:v>
      </x:c>
    </x:row>
    <x:row r="8" ht="28" customHeight="1">
      <x:c r="A8" s="24" t="str">
        <x:v>BLOCKER</x:v>
      </x:c>
      <x:c r="B8" s="24" t="str">
        <x:v>pedEntrance2Source</x:v>
      </x:c>
      <x:c r="C8" s="24" t="str">
        <x:v>Rate schedule equals pedRateSchedule (main gate), not mock smaller gate</x:v>
      </x:c>
      <x:c r="D8" s="24" t="str">
        <x:v>MODEL XML</x:v>
      </x:c>
      <x:c r="E8" s="24" t="str">
        <x:v>Create secondPedRateSchedule from FIELD_MOCK and connect only second source</x:v>
      </x:c>
      <x:c r="F8" s="26" t="str">
        <x:v>OPEN</x:v>
      </x:c>
      <x:c r="G8" s="24" t="str">
        <x:v>Without change second pedestrian arrivals ~ main 889, not 222</x:v>
      </x:c>
    </x:row>
    <x:row r="9" ht="28" customHeight="1">
      <x:c r="A9" s="21" t="str">
        <x:v>BLOCKER</x:v>
      </x:c>
      <x:c r="B9" s="21" t="str">
        <x:v>pedReleaseCheck</x:v>
      </x:c>
      <x:c r="C9" s="21" t="str">
        <x:v>Only pedWait released on Crossroad RED</x:v>
      </x:c>
      <x:c r="D9" s="21" t="str">
        <x:v>MODEL XML</x:v>
      </x:c>
      <x:c r="E9" s="21" t="str">
        <x:v>Add safe independent/linked release condition for pedWait1</x:v>
      </x:c>
      <x:c r="F9" s="26" t="str">
        <x:v>OPEN</x:v>
      </x:c>
      <x:c r="G9" s="21" t="str">
        <x:v>Second zebra could be blocked permanently</x:v>
      </x:c>
    </x:row>
    <x:row r="10" ht="28" customHeight="1">
      <x:c r="A10" s="24" t="str">
        <x:v>HIGH</x:v>
      </x:c>
      <x:c r="B10" s="24" t="str">
        <x:v>secondaryParkingInSchedule</x:v>
      </x:c>
      <x:c r="C10" s="24" t="str">
        <x:v>Identical rates to mainParkingInSchedule despite separate secondary counts</x:v>
      </x:c>
      <x:c r="D10" s="24" t="str">
        <x:v>MODEL XML</x:v>
      </x:c>
      <x:c r="E10" s="24" t="str">
        <x:v>Replace with FIELD_MOCK ParkingSecondIN per-min rates</x:v>
      </x:c>
      <x:c r="F10" s="26" t="str">
        <x:v>OPEN</x:v>
      </x:c>
      <x:c r="G10" s="24" t="str">
        <x:v>Original latest .alp has no after 08:00 secondary IN window</x:v>
      </x:c>
    </x:row>
    <x:row r="11" ht="28" customHeight="1">
      <x:c r="A11" s="21" t="str">
        <x:v>HIGH</x:v>
      </x:c>
      <x:c r="B11" s="21" t="str">
        <x:v>mainParkingInSchedule</x:v>
      </x:c>
      <x:c r="C11" s="21" t="str">
        <x:v>No 08:00–08:10 interval in schedule, historical field records 3 IN</x:v>
      </x:c>
      <x:c r="D11" s="21" t="str">
        <x:v>MODEL XML</x:v>
      </x:c>
      <x:c r="E11" s="21" t="str">
        <x:v>Add last 10-min interval rate 0.3/min</x:v>
      </x:c>
      <x:c r="F11" s="26" t="str">
        <x:v>OPEN</x:v>
      </x:c>
      <x:c r="G11" s="21" t="str">
        <x:v>Field data another day from main road counts</x:v>
      </x:c>
    </x:row>
    <x:row r="12" ht="28" customHeight="1">
      <x:c r="A12" s="24" t="str">
        <x:v>HIGH</x:v>
      </x:c>
      <x:c r="B12" s="24" t="str">
        <x:v>secondaryParkingInSchedule</x:v>
      </x:c>
      <x:c r="C12" s="24" t="str">
        <x:v>No 08:00–08:10 interval and copied values</x:v>
      </x:c>
      <x:c r="D12" s="24" t="str">
        <x:v>MODEL XML</x:v>
      </x:c>
      <x:c r="E12" s="24" t="str">
        <x:v>Add last interval rate 0.2/min</x:v>
      </x:c>
      <x:c r="F12" s="26" t="str">
        <x:v>OPEN</x:v>
      </x:c>
      <x:c r="G12" s="24" t="str">
        <x:v>Provisional using field session 16 Sep</x:v>
      </x:c>
    </x:row>
    <x:row r="13" ht="28" customHeight="1">
      <x:c r="A13" s="21" t="str">
        <x:v>HIGH</x:v>
      </x:c>
      <x:c r="B13" s="21" t="str">
        <x:v>release2</x:v>
      </x:c>
      <x:c r="C13" s="21" t="str">
        <x:v>References seize1, but 2nd entrance uses seize2</x:v>
      </x:c>
      <x:c r="D13" s="21" t="str">
        <x:v>MODEL XML</x:v>
      </x:c>
      <x:c r="E13" s="21" t="str">
        <x:v>Change resource release list to { seize2 }</x:v>
      </x:c>
      <x:c r="F13" s="26" t="str">
        <x:v>OPEN</x:v>
      </x:c>
      <x:c r="G13" s="21" t="str">
        <x:v>Could corrupt drop-off resources</x:v>
      </x:c>
    </x:row>
    <x:row r="14" ht="28" customHeight="1">
      <x:c r="A14" s="24" t="str">
        <x:v>HIGH</x:v>
      </x:c>
      <x:c r="B14" s="24" t="str">
        <x:v>assignSlotL1</x:v>
      </x:c>
      <x:c r="C14" s="24" t="str">
        <x:v>Calls claimFarthestFreeSlot(leftFree) from main gate</x:v>
      </x:c>
      <x:c r="D14" s="24" t="str">
        <x:v>MODEL XML</x:v>
      </x:c>
      <x:c r="E14" s="24" t="str">
        <x:v>Introduce secondLeftFree[5] or appropriate independent capacity</x:v>
      </x:c>
      <x:c r="F14" s="26" t="str">
        <x:v>OPEN</x:v>
      </x:c>
      <x:c r="G14" s="24" t="str">
        <x:v>Avoid sharing slot occupancy arrays between gates</x:v>
      </x:c>
    </x:row>
    <x:row r="15" ht="28" customHeight="1">
      <x:c r="A15" s="21" t="str">
        <x:v>HIGH</x:v>
      </x:c>
      <x:c r="B15" s="21" t="str">
        <x:v>curbSpots2_R / delay2</x:v>
      </x:c>
      <x:c r="C15" s="21" t="str">
        <x:v>Second R resource pool exists (capacity5), second L capacity5; right drop-off prohibited in proposed physical constraint</x:v>
      </x:c>
      <x:c r="D15" s="21" t="str">
        <x:v>MODEL XML</x:v>
      </x:c>
      <x:c r="E15" s="21" t="str">
        <x:v>Enforce right-lane through-only and use only left resources, check selected stopline routes</x:v>
      </x:c>
      <x:c r="F15" s="26" t="str">
        <x:v>VERIFY</x:v>
      </x:c>
      <x:c r="G15" s="21" t="str">
        <x:v>Unused pool is not necessarily error; avoid enabling right drop-off</x:v>
      </x:c>
    </x:row>
    <x:row r="16" ht="28" customHeight="1">
      <x:c r="A16" s="24" t="str">
        <x:v>HIGH</x:v>
      </x:c>
      <x:c r="B16" s="24" t="str">
        <x:v>selectOutput7</x:v>
      </x:c>
      <x:c r="C16" s="24" t="str">
        <x:v>Condition slots ==4,5,6,7, but shared array has 5 booleans indices 0..4</x:v>
      </x:c>
      <x:c r="D16" s="24" t="str">
        <x:v>MODEL XML</x:v>
      </x:c>
      <x:c r="E16" s="24" t="str">
        <x:v>Review extra outputs and resource capacity logic</x:v>
      </x:c>
      <x:c r="F16" s="26" t="str">
        <x:v>OPEN</x:v>
      </x:c>
      <x:c r="G16" s="24" t="str">
        <x:v>slot5+ unreachable from shared array unless other code assigns them</x:v>
      </x:c>
    </x:row>
    <x:row r="17" ht="28" customHeight="1">
      <x:c r="A17" s="21" t="str">
        <x:v>HIGH</x:v>
      </x:c>
      <x:c r="B17" s="21" t="str">
        <x:v>selectOutput4</x:v>
      </x:c>
      <x:c r="C17" s="21" t="str">
        <x:v>Second dropoff probability 0.83; mock target previously proposed ~105/100min</x:v>
      </x:c>
      <x:c r="D17" s="21" t="str">
        <x:v>MODEL XML / MOCK</x:v>
      </x:c>
      <x:c r="E17" s="21" t="str">
        <x:v>Calibrate to left-branch arrivals, do not blindly use 0.83</x:v>
      </x:c>
      <x:c r="F17" s="26" t="str">
        <x:v>OPEN</x:v>
      </x:c>
      <x:c r="G17" s="21" t="str">
        <x:v>Check model now routes drop-off before end of road</x:v>
      </x:c>
    </x:row>
    <x:row r="18" ht="28" customHeight="1">
      <x:c r="A18" s="24" t="str">
        <x:v>HIGH</x:v>
      </x:c>
      <x:c r="B18" s="24" t="str">
        <x:v>selectOutput2 / 3</x:v>
      </x:c>
      <x:c r="C18" s="24" t="str">
        <x:v>10% /90% side-road route decisions, not same 30% left mock and some outputs lead to same road</x:v>
      </x:c>
      <x:c r="D18" s="24" t="str">
        <x:v>MODEL XML</x:v>
      </x:c>
      <x:c r="E18" s="24" t="str">
        <x:v>Confirm branch geometry, outT/outF route and use consistent observed/mock turn split</x:v>
      </x:c>
      <x:c r="F18" s="26" t="str">
        <x:v>VERIFY</x:v>
      </x:c>
      <x:c r="G18" s="24" t="str">
        <x:v>selectOutput3 both branches target SecondEntranceRoad</x:v>
      </x:c>
    </x:row>
    <x:row r="19" ht="28" customHeight="1">
      <x:c r="A19" s="21" t="str">
        <x:v>HIGH</x:v>
      </x:c>
      <x:c r="B19" s="21" t="str">
        <x:v>carMoveTo15 / selectOutput4</x:v>
      </x:c>
      <x:c r="C19" s="21" t="str">
        <x:v>File has CarMoveTo end of SecondEntranceRoad feeding SelectOutput4 via connector</x:v>
      </x:c>
      <x:c r="D19" s="21" t="str">
        <x:v>MODEL XML</x:v>
      </x:c>
      <x:c r="E19" s="21" t="str">
        <x:v>Decision before end-of-road; CarDispose directly after correct end road, not after CarExit</x:v>
      </x:c>
      <x:c r="F19" s="26" t="str">
        <x:v>VERIFY</x:v>
      </x:c>
      <x:c r="G19" s="21" t="str">
        <x:v>Latest uploaded file predates recent troubleshooting edits</x:v>
      </x:c>
    </x:row>
    <x:row r="20" ht="28" customHeight="1">
      <x:c r="A20" s="24" t="str">
        <x:v>HIGH</x:v>
      </x:c>
      <x:c r="B20" s="24" t="str">
        <x:v>carMoveTo10,13,14</x:v>
      </x:c>
      <x:c r="C20" s="24" t="str">
        <x:v>Road-end CarMoveTo appears to lead to generic Sink</x:v>
      </x:c>
      <x:c r="D20" s="24" t="str">
        <x:v>MODEL XML</x:v>
      </x:c>
      <x:c r="E20" s="24" t="str">
        <x:v>Use correct road exit route / CarDispose if still in road network</x:v>
      </x:c>
      <x:c r="F20" s="26" t="str">
        <x:v>VERIFY</x:v>
      </x:c>
      <x:c r="G20" s="24" t="str">
        <x:v>Never CarExit → CarDispose directly</x:v>
      </x:c>
    </x:row>
    <x:row r="21" ht="28" customHeight="1">
      <x:c r="A21" s="21" t="str">
        <x:v>HIGH</x:v>
      </x:c>
      <x:c r="B21" s="21" t="str">
        <x:v>trafficLight / pedWait1</x:v>
      </x:c>
      <x:c r="C21" s="21" t="str">
        <x:v>One trafficLight object has two stopline IDs and four states; only first pedestrian wait controlled in event</x:v>
      </x:c>
      <x:c r="D21" s="21" t="str">
        <x:v>MODEL XML</x:v>
      </x:c>
      <x:c r="E21" s="21" t="str">
        <x:v>Confirm physical protected phase and independent second zebra safety</x:v>
      </x:c>
      <x:c r="F21" s="26" t="str">
        <x:v>VERIFY</x:v>
      </x:c>
      <x:c r="G21" s="21" t="str">
        <x:v>No separate second light object detected</x:v>
      </x:c>
    </x:row>
    <x:row r="22" ht="28" customHeight="1">
      <x:c r="A22" s="24" t="str">
        <x:v>MED</x:v>
      </x:c>
      <x:c r="B22" s="24" t="str">
        <x:v>Simulation StopOption</x:v>
      </x:c>
      <x:c r="C22" s="24" t="str">
        <x:v>StopOption = Never, FinalTime=100; not verified as stopping 100 minutes</x:v>
      </x:c>
      <x:c r="D22" s="24" t="str">
        <x:v>MODEL XML</x:v>
      </x:c>
      <x:c r="E22" s="24" t="str">
        <x:v>Set stop at 100min / 6000s and confirm animated run stops</x:v>
      </x:c>
      <x:c r="F22" s="26" t="str">
        <x:v>VERIFY</x:v>
      </x:c>
      <x:c r="G22" s="24" t="str">
        <x:v>No automatic stop guaranteed by saved model</x:v>
      </x:c>
    </x:row>
    <x:row r="23" ht="28" customHeight="1">
      <x:c r="A23" s="21" t="str">
        <x:v>MED</x:v>
      </x:c>
      <x:c r="B23" s="21" t="str">
        <x:v>pedCount / totalPedWait</x:v>
      </x:c>
      <x:c r="C23" s="21" t="str">
        <x:v>Both PedSources increment pedCount, both PedWait blocks increment same totalPedWait</x:v>
      </x:c>
      <x:c r="D23" s="21" t="str">
        <x:v>MODEL XML</x:v>
      </x:c>
      <x:c r="E23" s="21" t="str">
        <x:v>Split counters and averages per crossing</x:v>
      </x:c>
      <x:c r="F23" s="26" t="str">
        <x:v>OPEN</x:v>
      </x:c>
      <x:c r="G23" s="21" t="str">
        <x:v>Historic 12.93s main only not current combined value</x:v>
      </x:c>
    </x:row>
    <x:row r="24" ht="28" customHeight="1">
      <x:c r="A24" s="24" t="str">
        <x:v>MED</x:v>
      </x:c>
      <x:c r="B24" s="24" t="str">
        <x:v>Parking IN probabilities</x:v>
      </x:c>
      <x:c r="C24" s="24" t="str">
        <x:v>Parking datasets 16 Sep and road count 25 Sep; not synchronized</x:v>
      </x:c>
      <x:c r="D24" s="24" t="str">
        <x:v>CROSS-DATE</x:v>
      </x:c>
      <x:c r="E24" s="24" t="str">
        <x:v>If using IN probabilistic diversion, label assumed flow and run sensitivity</x:v>
      </x:c>
      <x:c r="F24" s="26" t="str">
        <x:v>VERIFY</x:v>
      </x:c>
      <x:c r="G24" s="24" t="str">
        <x:v>Do not add new CarSource for IN if already on road</x:v>
      </x:c>
    </x:row>
    <x:row r="25" ht="28" customHeight="1">
      <x:c r="A25" s="21" t="str">
        <x:v>MED</x:v>
      </x:c>
      <x:c r="B25" s="21" t="str">
        <x:v>Main road vs observed count</x:v>
      </x:c>
      <x:c r="C25" s="21" t="str">
        <x:v>Corrected inferred total ~765 versus 420 count from separate gate observation</x:v>
      </x:c>
      <x:c r="D25" s="21" t="str">
        <x:v>DIFFERENT COUNTER</x:v>
      </x:c>
      <x:c r="E25" s="21" t="str">
        <x:v>Clarify sensor coverage and counting definition before calibration</x:v>
      </x:c>
      <x:c r="F25" s="26" t="str">
        <x:v>VERIFY</x:v>
      </x:c>
      <x:c r="G25" s="21" t="str">
        <x:v>Do not falsely call two observations same segment</x:v>
      </x:c>
    </x:row>
  </x:sheetData>
  <x:mergeCells>
    <x:mergeCell ref="A1:G2"/>
    <x:mergeCell ref="A3:G3"/>
  </x:mergeCells>
  <x:dataValidations count="1">
    <x:dataValidation type="list" sqref="F5:F25">
      <x:formula1>"OPEN,IN PROGRESS,VERIFY,FIXED,N/A"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03" hidden="0" customWidth="1"/>
    <x:col min="4" max="4" width="47" hidden="0" customWidth="1"/>
    <x:col min="5" max="5" width="22" hidden="0" customWidth="1"/>
    <x:col min="6" max="6" width="81" hidden="0" customWidth="1"/>
  </x:cols>
  <x:sheetData>
    <x:row r="1" ht="22" customHeight="1">
      <x:c r="A1" s="4" t="str">
        <x:v>10  •  EXPERIMENT CANDIDATES &amp; PARAMETERS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4" customHeight="1">
      <x:c r="A3" s="9" t="str">
        <x:v>All methods are candidates only. Use exactly the same demand/seeds and compare replicated KPIs to the frozen baseline.</x:v>
      </x:c>
      <x:c r="B3" s="9"/>
      <x:c r="C3" s="9"/>
      <x:c r="D3" s="9"/>
      <x:c r="E3" s="9"/>
      <x:c r="F3" s="9"/>
    </x:row>
    <x:row r="4" ht="34" customHeight="1">
      <x:c r="A4" s="15" t="str">
        <x:v>ID</x:v>
      </x:c>
      <x:c r="B4" s="15" t="str">
        <x:v>Method</x:v>
      </x:c>
      <x:c r="C4" s="15" t="str">
        <x:v>Controlled change</x:v>
      </x:c>
      <x:c r="D4" s="15" t="str">
        <x:v>What-if values</x:v>
      </x:c>
      <x:c r="E4" s="15" t="str">
        <x:v>Experiment class</x:v>
      </x:c>
      <x:c r="F4" s="15" t="str">
        <x:v>Safety / fairness constraint</x:v>
      </x:c>
    </x:row>
    <x:row r="5" ht="23" customHeight="1">
      <x:c r="A5" s="21" t="str">
        <x:v>B0</x:v>
      </x:c>
      <x:c r="B5" s="21" t="str">
        <x:v>Calibrated baseline</x:v>
      </x:c>
      <x:c r="C5" s="21" t="str">
        <x:v>Existing manual-like triangular signal, 5 slots each main, mock second 5 as in .alp until corrected, existing demand</x:v>
      </x:c>
      <x:c r="D5" s="21" t="str">
        <x:v>TBD</x:v>
      </x:c>
      <x:c r="E5" s="21" t="str">
        <x:v>MAIN BASELINE</x:v>
      </x:c>
      <x:c r="F5" s="21" t="str">
        <x:v>Freeze only after all BLOCKER issues clear</x:v>
      </x:c>
    </x:row>
    <x:row r="6" ht="23" customHeight="1">
      <x:c r="A6" s="24" t="str">
        <x:v>D1</x:v>
      </x:c>
      <x:c r="B6" s="24" t="str">
        <x:v>Main drop-off slots</x:v>
      </x:c>
      <x:c r="C6" s="24" t="str">
        <x:v>Change curbSpots_L +/or R; test 3,5,7 where geometry allows</x:v>
      </x:c>
      <x:c r="D6" s="24" t="str">
        <x:v>3 / 5 / 7</x:v>
      </x:c>
      <x:c r="E6" s="24" t="str">
        <x:v>PROPOSED</x:v>
      </x:c>
      <x:c r="F6" s="24" t="str">
        <x:v>Physical curb length must support actual slots</x:v>
      </x:c>
    </x:row>
    <x:row r="7" ht="23" customHeight="1">
      <x:c r="A7" s="21" t="str">
        <x:v>D2</x:v>
      </x:c>
      <x:c r="B7" s="21" t="str">
        <x:v>Second drop-off slots</x:v>
      </x:c>
      <x:c r="C7" s="21" t="str">
        <x:v>Use left lane only; test 2,3,4,5 slots</x:v>
      </x:c>
      <x:c r="D7" s="21" t="str">
        <x:v>2 / 3 / 4 / 5</x:v>
      </x:c>
      <x:c r="E7" s="21" t="str">
        <x:v>PROPOSED</x:v>
      </x:c>
      <x:c r="F7" s="21" t="str">
        <x:v>Right lane cannot drop-off</x:v>
      </x:c>
    </x:row>
    <x:row r="8" ht="23" customHeight="1">
      <x:c r="A8" s="24" t="str">
        <x:v>P1</x:v>
      </x:c>
      <x:c r="B8" s="24" t="str">
        <x:v>Ped batch threshold</x:v>
      </x:c>
      <x:c r="C8" s="24" t="str">
        <x:v>Pedestrian queued threshold at first and second zebra</x:v>
      </x:c>
      <x:c r="D8" s="24" t="str">
        <x:v>N=1,3,5,8</x:v>
      </x:c>
      <x:c r="E8" s="24" t="str">
        <x:v>PROPOSED</x:v>
      </x:c>
      <x:c r="F8" s="24" t="str">
        <x:v>Protect max waiting and clearance</x:v>
      </x:c>
    </x:row>
    <x:row r="9" ht="23" customHeight="1">
      <x:c r="A9" s="21" t="str">
        <x:v>P2</x:v>
      </x:c>
      <x:c r="B9" s="21" t="str">
        <x:v>N OR oldest wait</x:v>
      </x:c>
      <x:c r="C9" s="21" t="str">
        <x:v>Cross if queue threshold reached OR oldest wait &gt; limit</x:v>
      </x:c>
      <x:c r="D9" s="21" t="str">
        <x:v>N=3/5/8 and wait=20/30/40s</x:v>
      </x:c>
      <x:c r="E9" s="21" t="str">
        <x:v>PROPOSED</x:v>
      </x:c>
      <x:c r="F9" s="21" t="str">
        <x:v>No starvation</x:v>
      </x:c>
    </x:row>
    <x:row r="10" ht="23" customHeight="1">
      <x:c r="A10" s="24" t="str">
        <x:v>G1</x:v>
      </x:c>
      <x:c r="B10" s="24" t="str">
        <x:v>Min vehicle green</x:v>
      </x:c>
      <x:c r="C10" s="24" t="str">
        <x:v>Threshold + minimum vehicle movement interval</x:v>
      </x:c>
      <x:c r="D10" s="24" t="str">
        <x:v>10 / 20 / 30s</x:v>
      </x:c>
      <x:c r="E10" s="24" t="str">
        <x:v>PROPOSED</x:v>
      </x:c>
      <x:c r="F10" s="24" t="str">
        <x:v>Never violate ped max wait</x:v>
      </x:c>
    </x:row>
    <x:row r="11" ht="23" customHeight="1">
      <x:c r="A11" s="21" t="str">
        <x:v>Q1</x:v>
      </x:c>
      <x:c r="B11" s="21" t="str">
        <x:v>Queue-aware controller</x:v>
      </x:c>
      <x:c r="C11" s="21" t="str">
        <x:v>Serve pedestrians conditioned on vehicle queue, hard pedestrian max wait</x:v>
      </x:c>
      <x:c r="D11" s="21" t="str">
        <x:v>Queue threshold 5/10</x:v>
      </x:c>
      <x:c r="E11" s="21" t="str">
        <x:v>PROPOSED</x:v>
      </x:c>
      <x:c r="F11" s="21" t="str">
        <x:v>Require measurable queue metric and no conflict</x:v>
      </x:c>
    </x:row>
    <x:row r="12" ht="23" customHeight="1">
      <x:c r="A12" s="24" t="str">
        <x:v>W1</x:v>
      </x:c>
      <x:c r="B12" s="24" t="str">
        <x:v>Webster / actuated</x:v>
      </x:c>
      <x:c r="C12" s="24" t="str">
        <x:v>Webster cycle allocation as candidate, not baseline</x:v>
      </x:c>
      <x:c r="D12" s="24" t="str">
        <x:v>Calculated g_v,g_p</x:v>
      </x:c>
      <x:c r="E12" s="24" t="str">
        <x:v>PROPOSED</x:v>
      </x:c>
      <x:c r="F12" s="24" t="str">
        <x:v>Compare under exact same demand and physical safety</x:v>
      </x:c>
    </x:row>
    <x:row r="13" ht="23" customHeight="1">
      <x:c r="A13" s="21" t="str">
        <x:v>R1</x:v>
      </x:c>
      <x:c r="B13" s="21" t="str">
        <x:v>Lane choice policy</x:v>
      </x:c>
      <x:c r="C13" s="21" t="str">
        <x:v>Right-lane through-only second gate, change-lane before parking/second drop-off</x:v>
      </x:c>
      <x:c r="D13" s="21" t="str">
        <x:v>Geometry and lane choices</x:v>
      </x:c>
      <x:c r="E13" s="21" t="str">
        <x:v>PROPOSED</x:v>
      </x:c>
      <x:c r="F13" s="21" t="str">
        <x:v>Differentiate mock lane mapping from observed</x:v>
      </x:c>
    </x:row>
    <x:row r="14" ht="23" customHeight="1">
      <x:c r="A14" s="24" t="str">
        <x:v>S1</x:v>
      </x:c>
      <x:c r="B14" s="24" t="str">
        <x:v>Sensitivity test</x:v>
      </x:c>
      <x:c r="C14" s="24" t="str">
        <x:v>Left turn ratio 0.2/0.3/0.4, second ped demand 0.15/0.25/0.35 main</x:v>
      </x:c>
      <x:c r="D14" s="24" t="str">
        <x:v>Three profiles each</x:v>
      </x:c>
      <x:c r="E14" s="24" t="str">
        <x:v>SENSITIVITY</x:v>
      </x:c>
      <x:c r="F14" s="24" t="str">
        <x:v>User-provided actual data replaces mock profiles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30" hidden="0" customWidth="1"/>
    <x:col min="4" max="4" width="93" hidden="0" customWidth="1"/>
    <x:col min="5" max="5" width="30" hidden="0" customWidth="1"/>
    <x:col min="6" max="6" width="91" hidden="0" customWidth="1"/>
  </x:cols>
  <x:sheetData>
    <x:row r="1" ht="22" customHeight="1">
      <x:c r="A1" s="4" t="str">
        <x:v>11  •  SCENARIO CHANGE LOG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4" customHeight="1">
      <x:c r="A3" s="9" t="str">
        <x:v>Append a row for each parameter change. Excel does not automatically write changes back into AnyLogic.</x:v>
      </x:c>
      <x:c r="B3" s="9"/>
      <x:c r="C3" s="9"/>
      <x:c r="D3" s="9"/>
      <x:c r="E3" s="9"/>
      <x:c r="F3" s="9"/>
    </x:row>
    <x:row r="4" ht="34" customHeight="1">
      <x:c r="A4" s="15" t="str">
        <x:v>Date</x:v>
      </x:c>
      <x:c r="B4" s="15" t="str">
        <x:v>Version / scenario</x:v>
      </x:c>
      <x:c r="C4" s="15" t="str">
        <x:v>Team member</x:v>
      </x:c>
      <x:c r="D4" s="15" t="str">
        <x:v>Change description</x:v>
      </x:c>
      <x:c r="E4" s="15" t="str">
        <x:v>Affected object(s)</x:v>
      </x:c>
      <x:c r="F4" s="15" t="str">
        <x:v>Evidence / impact</x:v>
      </x:c>
    </x:row>
    <x:row r="5" ht="23" customHeight="1">
      <x:c r="A5" s="26" t="str">
        <x:v>2026-10-18</x:v>
      </x:c>
      <x:c r="B5" s="26" t="str">
        <x:v>REGISTER v1</x:v>
      </x:c>
      <x:c r="C5" s="26" t="str">
        <x:v>Assistant</x:v>
      </x:c>
      <x:c r="D5" s="26" t="str">
        <x:v>Extracted model snapshot from Satit Chula Crossing final proj(1).alp</x:v>
      </x:c>
      <x:c r="E5" s="26" t="str">
        <x:v>ALL</x:v>
      </x:c>
      <x:c r="F5" s="26" t="str">
        <x:v>Document only; no changes made to AnyLogic</x:v>
      </x:c>
    </x:row>
    <x:row r="6" ht="23" customHeight="1">
      <x:c r="A6" s="26" t="str">
        <x:v>2026-10-18</x:v>
      </x:c>
      <x:c r="B6" s="26" t="str">
        <x:v>Mock register</x:v>
      </x:c>
      <x:c r="C6" s="26" t="str">
        <x:v>Project assumption</x:v>
      </x:c>
      <x:c r="D6" s="26" t="str">
        <x:v>Main gate observed 889; second 222 mock; second 105 dropoff mock</x:v>
      </x:c>
      <x:c r="E6" s="26" t="str">
        <x:v>FIELD_MOCK</x:v>
      </x:c>
      <x:c r="F6" s="26" t="str">
        <x:v>Replace by synchronized observations when available</x:v>
      </x:c>
    </x:row>
    <x:row r="7" ht="23" customHeight="1">
      <x:c r="A7" s="26" t="str"/>
      <x:c r="B7" s="26" t="str"/>
      <x:c r="C7" s="26" t="str"/>
      <x:c r="D7" s="26" t="str"/>
      <x:c r="E7" s="26" t="str"/>
      <x:c r="F7" s="26" t="str"/>
    </x:row>
    <x:row r="8" ht="23" customHeight="1">
      <x:c r="A8" s="26" t="str"/>
      <x:c r="B8" s="26" t="str"/>
      <x:c r="C8" s="26" t="str"/>
      <x:c r="D8" s="26" t="str"/>
      <x:c r="E8" s="26" t="str"/>
      <x:c r="F8" s="26" t="str"/>
    </x:row>
    <x:row r="9" ht="23" customHeight="1">
      <x:c r="A9" s="26" t="str"/>
      <x:c r="B9" s="26" t="str"/>
      <x:c r="C9" s="26" t="str"/>
      <x:c r="D9" s="26" t="str"/>
      <x:c r="E9" s="26" t="str"/>
      <x:c r="F9" s="26" t="str"/>
    </x:row>
  </x:sheetData>
  <x:mergeCells>
    <x:mergeCell ref="A1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.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</x:cols>
  <x:sheetData>
    <x:row r="1" ht="25" customHeight="1">
      <x:c r="A1" s="53" t="str">
        <x:v>SATIT CHULA   /   ROAD NETWORK &amp; DATA-TO-MODEL MAP</x:v>
      </x:c>
      <x:c r="B1" s="53" t="str">
        <x:v>SATIT CHULA   /   ROAD NETWORK &amp; DATA-TO-MODEL MAP</x:v>
      </x:c>
      <x:c r="C1" s="53" t="str">
        <x:v>SATIT CHULA   /   ROAD NETWORK &amp; DATA-TO-MODEL MAP</x:v>
      </x:c>
      <x:c r="D1" s="53" t="str">
        <x:v>SATIT CHULA   /   ROAD NETWORK &amp; DATA-TO-MODEL MAP</x:v>
      </x:c>
      <x:c r="E1" s="53" t="str">
        <x:v>SATIT CHULA   /   ROAD NETWORK &amp; DATA-TO-MODEL MAP</x:v>
      </x:c>
      <x:c r="F1" s="53" t="str">
        <x:v>SATIT CHULA   /   ROAD NETWORK &amp; DATA-TO-MODEL MAP</x:v>
      </x:c>
      <x:c r="G1" s="53" t="str">
        <x:v>SATIT CHULA   /   ROAD NETWORK &amp; DATA-TO-MODEL MAP</x:v>
      </x:c>
      <x:c r="H1" s="53" t="str">
        <x:v>SATIT CHULA   /   ROAD NETWORK &amp; DATA-TO-MODEL MAP</x:v>
      </x:c>
      <x:c r="I1" s="53" t="str">
        <x:v>SATIT CHULA   /   ROAD NETWORK &amp; DATA-TO-MODEL MAP</x:v>
      </x:c>
      <x:c r="J1" s="53" t="str">
        <x:v>SATIT CHULA   /   ROAD NETWORK &amp; DATA-TO-MODEL MAP</x:v>
      </x:c>
      <x:c r="K1" s="53" t="str">
        <x:v>SATIT CHULA   /   ROAD NETWORK &amp; DATA-TO-MODEL MAP</x:v>
      </x:c>
      <x:c r="L1" s="53" t="str">
        <x:v>SATIT CHULA   /   ROAD NETWORK &amp; DATA-TO-MODEL MAP</x:v>
      </x:c>
      <x:c r="M1" s="53" t="str">
        <x:v>SATIT CHULA   /   ROAD NETWORK &amp; DATA-TO-MODEL MAP</x:v>
      </x:c>
      <x:c r="N1" s="53" t="str">
        <x:v>SATIT CHULA   /   ROAD NETWORK &amp; DATA-TO-MODEL MAP</x:v>
      </x:c>
      <x:c r="O1" s="53" t="str">
        <x:v>SATIT CHULA   /   ROAD NETWORK &amp; DATA-TO-MODEL MAP</x:v>
      </x:c>
      <x:c r="P1" s="53" t="str">
        <x:v>SATIT CHULA   /   ROAD NETWORK &amp; DATA-TO-MODEL MAP</x:v>
      </x:c>
      <x:c r="Q1" s="53" t="str">
        <x:v>SATIT CHULA   /   ROAD NETWORK &amp; DATA-TO-MODEL MAP</x:v>
      </x:c>
      <x:c r="R1" s="53" t="str">
        <x:v>SATIT CHULA   /   ROAD NETWORK &amp; DATA-TO-MODEL MAP</x:v>
      </x:c>
      <x:c r="S1" s="53" t="str">
        <x:v>SATIT CHULA   /   ROAD NETWORK &amp; DATA-TO-MODEL MAP</x:v>
      </x:c>
      <x:c r="T1" s="53" t="str">
        <x:v>SATIT CHULA   /   ROAD NETWORK &amp; DATA-TO-MODEL MAP</x:v>
      </x:c>
      <x:c r="U1" s="53" t="str">
        <x:v>SATIT CHULA   /   ROAD NETWORK &amp; DATA-TO-MODEL MAP</x:v>
      </x:c>
      <x:c r="V1" s="53" t="str">
        <x:v>SATIT CHULA   /   ROAD NETWORK &amp; DATA-TO-MODEL MAP</x:v>
      </x:c>
      <x:c r="W1" s="53" t="str">
        <x:v>SATIT CHULA   /   ROAD NETWORK &amp; DATA-TO-MODEL MAP</x:v>
      </x:c>
      <x:c r="X1" s="53" t="str">
        <x:v>SATIT CHULA   /   ROAD NETWORK &amp; DATA-TO-MODEL MAP</x:v>
      </x:c>
      <x:c r="Y1" s="53" t="str">
        <x:v>SATIT CHULA   /   ROAD NETWORK &amp; DATA-TO-MODEL MAP</x:v>
      </x:c>
    </x:row>
    <x:row r="2" ht="25" customHeight="1">
      <x:c r="A2" s="53" t="str">
        <x:v>SATIT CHULA   /   ROAD NETWORK &amp; DATA-TO-MODEL MAP</x:v>
      </x:c>
      <x:c r="B2" s="53" t="str">
        <x:v>SATIT CHULA   /   ROAD NETWORK &amp; DATA-TO-MODEL MAP</x:v>
      </x:c>
      <x:c r="C2" s="53" t="str">
        <x:v>SATIT CHULA   /   ROAD NETWORK &amp; DATA-TO-MODEL MAP</x:v>
      </x:c>
      <x:c r="D2" s="53" t="str">
        <x:v>SATIT CHULA   /   ROAD NETWORK &amp; DATA-TO-MODEL MAP</x:v>
      </x:c>
      <x:c r="E2" s="53" t="str">
        <x:v>SATIT CHULA   /   ROAD NETWORK &amp; DATA-TO-MODEL MAP</x:v>
      </x:c>
      <x:c r="F2" s="53" t="str">
        <x:v>SATIT CHULA   /   ROAD NETWORK &amp; DATA-TO-MODEL MAP</x:v>
      </x:c>
      <x:c r="G2" s="53" t="str">
        <x:v>SATIT CHULA   /   ROAD NETWORK &amp; DATA-TO-MODEL MAP</x:v>
      </x:c>
      <x:c r="H2" s="53" t="str">
        <x:v>SATIT CHULA   /   ROAD NETWORK &amp; DATA-TO-MODEL MAP</x:v>
      </x:c>
      <x:c r="I2" s="53" t="str">
        <x:v>SATIT CHULA   /   ROAD NETWORK &amp; DATA-TO-MODEL MAP</x:v>
      </x:c>
      <x:c r="J2" s="53" t="str">
        <x:v>SATIT CHULA   /   ROAD NETWORK &amp; DATA-TO-MODEL MAP</x:v>
      </x:c>
      <x:c r="K2" s="53" t="str">
        <x:v>SATIT CHULA   /   ROAD NETWORK &amp; DATA-TO-MODEL MAP</x:v>
      </x:c>
      <x:c r="L2" s="53" t="str">
        <x:v>SATIT CHULA   /   ROAD NETWORK &amp; DATA-TO-MODEL MAP</x:v>
      </x:c>
      <x:c r="M2" s="53" t="str">
        <x:v>SATIT CHULA   /   ROAD NETWORK &amp; DATA-TO-MODEL MAP</x:v>
      </x:c>
      <x:c r="N2" s="53" t="str">
        <x:v>SATIT CHULA   /   ROAD NETWORK &amp; DATA-TO-MODEL MAP</x:v>
      </x:c>
      <x:c r="O2" s="53" t="str">
        <x:v>SATIT CHULA   /   ROAD NETWORK &amp; DATA-TO-MODEL MAP</x:v>
      </x:c>
      <x:c r="P2" s="53" t="str">
        <x:v>SATIT CHULA   /   ROAD NETWORK &amp; DATA-TO-MODEL MAP</x:v>
      </x:c>
      <x:c r="Q2" s="53" t="str">
        <x:v>SATIT CHULA   /   ROAD NETWORK &amp; DATA-TO-MODEL MAP</x:v>
      </x:c>
      <x:c r="R2" s="53" t="str">
        <x:v>SATIT CHULA   /   ROAD NETWORK &amp; DATA-TO-MODEL MAP</x:v>
      </x:c>
      <x:c r="S2" s="53" t="str">
        <x:v>SATIT CHULA   /   ROAD NETWORK &amp; DATA-TO-MODEL MAP</x:v>
      </x:c>
      <x:c r="T2" s="53" t="str">
        <x:v>SATIT CHULA   /   ROAD NETWORK &amp; DATA-TO-MODEL MAP</x:v>
      </x:c>
      <x:c r="U2" s="53" t="str">
        <x:v>SATIT CHULA   /   ROAD NETWORK &amp; DATA-TO-MODEL MAP</x:v>
      </x:c>
      <x:c r="V2" s="53" t="str">
        <x:v>SATIT CHULA   /   ROAD NETWORK &amp; DATA-TO-MODEL MAP</x:v>
      </x:c>
      <x:c r="W2" s="53" t="str">
        <x:v>SATIT CHULA   /   ROAD NETWORK &amp; DATA-TO-MODEL MAP</x:v>
      </x:c>
      <x:c r="X2" s="53" t="str">
        <x:v>SATIT CHULA   /   ROAD NETWORK &amp; DATA-TO-MODEL MAP</x:v>
      </x:c>
      <x:c r="Y2" s="53" t="str">
        <x:v>SATIT CHULA   /   ROAD NETWORK &amp; DATA-TO-MODEL MAP</x:v>
      </x:c>
    </x:row>
    <x:row r="3" ht="25" customHeight="1">
      <x:c r="A3" s="58" t="str">
        <x:v>Schematic only (not to scale) • Actual .alp snapshot vs mock/unfinished flows are labeled • Vehicle direction on main corridor: EAST → WEST</x:v>
      </x:c>
      <x:c r="B3" s="58" t="str">
        <x:v>Schematic only (not to scale) • Actual .alp snapshot vs mock/unfinished flows are labeled • Vehicle direction on main corridor: EAST → WEST</x:v>
      </x:c>
      <x:c r="C3" s="58" t="str">
        <x:v>Schematic only (not to scale) • Actual .alp snapshot vs mock/unfinished flows are labeled • Vehicle direction on main corridor: EAST → WEST</x:v>
      </x:c>
      <x:c r="D3" s="58" t="str">
        <x:v>Schematic only (not to scale) • Actual .alp snapshot vs mock/unfinished flows are labeled • Vehicle direction on main corridor: EAST → WEST</x:v>
      </x:c>
      <x:c r="E3" s="58" t="str">
        <x:v>Schematic only (not to scale) • Actual .alp snapshot vs mock/unfinished flows are labeled • Vehicle direction on main corridor: EAST → WEST</x:v>
      </x:c>
      <x:c r="F3" s="58" t="str">
        <x:v>Schematic only (not to scale) • Actual .alp snapshot vs mock/unfinished flows are labeled • Vehicle direction on main corridor: EAST → WEST</x:v>
      </x:c>
      <x:c r="G3" s="58" t="str">
        <x:v>Schematic only (not to scale) • Actual .alp snapshot vs mock/unfinished flows are labeled • Vehicle direction on main corridor: EAST → WEST</x:v>
      </x:c>
      <x:c r="H3" s="58" t="str">
        <x:v>Schematic only (not to scale) • Actual .alp snapshot vs mock/unfinished flows are labeled • Vehicle direction on main corridor: EAST → WEST</x:v>
      </x:c>
      <x:c r="I3" s="58" t="str">
        <x:v>Schematic only (not to scale) • Actual .alp snapshot vs mock/unfinished flows are labeled • Vehicle direction on main corridor: EAST → WEST</x:v>
      </x:c>
      <x:c r="J3" s="58" t="str">
        <x:v>Schematic only (not to scale) • Actual .alp snapshot vs mock/unfinished flows are labeled • Vehicle direction on main corridor: EAST → WEST</x:v>
      </x:c>
      <x:c r="K3" s="58" t="str">
        <x:v>Schematic only (not to scale) • Actual .alp snapshot vs mock/unfinished flows are labeled • Vehicle direction on main corridor: EAST → WEST</x:v>
      </x:c>
      <x:c r="L3" s="58" t="str">
        <x:v>Schematic only (not to scale) • Actual .alp snapshot vs mock/unfinished flows are labeled • Vehicle direction on main corridor: EAST → WEST</x:v>
      </x:c>
      <x:c r="M3" s="58" t="str">
        <x:v>Schematic only (not to scale) • Actual .alp snapshot vs mock/unfinished flows are labeled • Vehicle direction on main corridor: EAST → WEST</x:v>
      </x:c>
      <x:c r="N3" s="58" t="str">
        <x:v>Schematic only (not to scale) • Actual .alp snapshot vs mock/unfinished flows are labeled • Vehicle direction on main corridor: EAST → WEST</x:v>
      </x:c>
      <x:c r="O3" s="58" t="str">
        <x:v>Schematic only (not to scale) • Actual .alp snapshot vs mock/unfinished flows are labeled • Vehicle direction on main corridor: EAST → WEST</x:v>
      </x:c>
      <x:c r="P3" s="58" t="str">
        <x:v>Schematic only (not to scale) • Actual .alp snapshot vs mock/unfinished flows are labeled • Vehicle direction on main corridor: EAST → WEST</x:v>
      </x:c>
      <x:c r="Q3" s="58" t="str">
        <x:v>Schematic only (not to scale) • Actual .alp snapshot vs mock/unfinished flows are labeled • Vehicle direction on main corridor: EAST → WEST</x:v>
      </x:c>
      <x:c r="R3" s="58" t="str">
        <x:v>Schematic only (not to scale) • Actual .alp snapshot vs mock/unfinished flows are labeled • Vehicle direction on main corridor: EAST → WEST</x:v>
      </x:c>
      <x:c r="S3" s="58" t="str">
        <x:v>Schematic only (not to scale) • Actual .alp snapshot vs mock/unfinished flows are labeled • Vehicle direction on main corridor: EAST → WEST</x:v>
      </x:c>
      <x:c r="T3" s="58" t="str">
        <x:v>Schematic only (not to scale) • Actual .alp snapshot vs mock/unfinished flows are labeled • Vehicle direction on main corridor: EAST → WEST</x:v>
      </x:c>
      <x:c r="U3" s="58" t="str">
        <x:v>Schematic only (not to scale) • Actual .alp snapshot vs mock/unfinished flows are labeled • Vehicle direction on main corridor: EAST → WEST</x:v>
      </x:c>
      <x:c r="V3" s="58" t="str">
        <x:v>Schematic only (not to scale) • Actual .alp snapshot vs mock/unfinished flows are labeled • Vehicle direction on main corridor: EAST → WEST</x:v>
      </x:c>
      <x:c r="W3" s="58" t="str">
        <x:v>Schematic only (not to scale) • Actual .alp snapshot vs mock/unfinished flows are labeled • Vehicle direction on main corridor: EAST → WEST</x:v>
      </x:c>
      <x:c r="X3" s="58" t="str">
        <x:v>Schematic only (not to scale) • Actual .alp snapshot vs mock/unfinished flows are labeled • Vehicle direction on main corridor: EAST → WEST</x:v>
      </x:c>
      <x:c r="Y3" s="58" t="str">
        <x:v>Schematic only (not to scale) • Actual .alp snapshot vs mock/unfinished flows are labeled • Vehicle direction on main corridor: EAST → WEST</x:v>
      </x:c>
    </x:row>
    <x:row r="4" ht="25" customHeight="1"/>
    <x:row r="5" ht="25" customHeight="1">
      <x:c r="A5" s="63" t="str">
        <x:v>MODEL  ●  exists in saved .alp</x:v>
      </x:c>
      <x:c r="B5" s="63" t="str">
        <x:v>MODEL  ●  exists in saved .alp</x:v>
      </x:c>
      <x:c r="C5" s="63" t="str">
        <x:v>MODEL  ●  exists in saved .alp</x:v>
      </x:c>
      <x:c r="D5" s="63" t="str">
        <x:v>MODEL  ●  exists in saved .alp</x:v>
      </x:c>
      <x:c r="E5" s="63" t="str">
        <x:v>MODEL  ●  exists in saved .alp</x:v>
      </x:c>
      <x:c r="F5" s="68" t="str">
        <x:v>FIELD  ●  measured</x:v>
      </x:c>
      <x:c r="G5" s="68" t="str">
        <x:v>FIELD  ●  measured</x:v>
      </x:c>
      <x:c r="H5" s="68" t="str">
        <x:v>FIELD  ●  measured</x:v>
      </x:c>
      <x:c r="I5" s="68" t="str">
        <x:v>FIELD  ●  measured</x:v>
      </x:c>
      <x:c r="J5" s="68" t="str">
        <x:v>FIELD  ●  measured</x:v>
      </x:c>
      <x:c r="K5" s="73" t="str">
        <x:v>MOCK  ●  provisional</x:v>
      </x:c>
      <x:c r="L5" s="73" t="str">
        <x:v>MOCK  ●  provisional</x:v>
      </x:c>
      <x:c r="M5" s="73" t="str">
        <x:v>MOCK  ●  provisional</x:v>
      </x:c>
      <x:c r="N5" s="73" t="str">
        <x:v>MOCK  ●  provisional</x:v>
      </x:c>
      <x:c r="O5" s="73" t="str">
        <x:v>MOCK  ●  provisional</x:v>
      </x:c>
      <x:c r="P5" s="78" t="str">
        <x:v>VERIFY  ●  check mapping</x:v>
      </x:c>
      <x:c r="Q5" s="78" t="str">
        <x:v>VERIFY  ●  check mapping</x:v>
      </x:c>
      <x:c r="R5" s="78" t="str">
        <x:v>VERIFY  ●  check mapping</x:v>
      </x:c>
      <x:c r="S5" s="78" t="str">
        <x:v>VERIFY  ●  check mapping</x:v>
      </x:c>
      <x:c r="T5" s="78" t="str">
        <x:v>VERIFY  ●  check mapping</x:v>
      </x:c>
      <x:c r="U5" s="83" t="str">
        <x:v>→  data bindings on next tab</x:v>
      </x:c>
      <x:c r="V5" s="83" t="str">
        <x:v>→  data bindings on next tab</x:v>
      </x:c>
      <x:c r="W5" s="83" t="str">
        <x:v>→  data bindings on next tab</x:v>
      </x:c>
      <x:c r="X5" s="83" t="str">
        <x:v>→  data bindings on next tab</x:v>
      </x:c>
      <x:c r="Y5" s="83" t="str">
        <x:v>→  data bindings on next tab</x:v>
      </x:c>
    </x:row>
    <x:row r="6" ht="25" customHeight="1">
      <x:c r="A6" s="63" t="str">
        <x:v>MODEL  ●  exists in saved .alp</x:v>
      </x:c>
      <x:c r="B6" s="63" t="str">
        <x:v>MODEL  ●  exists in saved .alp</x:v>
      </x:c>
      <x:c r="C6" s="63" t="str">
        <x:v>MODEL  ●  exists in saved .alp</x:v>
      </x:c>
      <x:c r="D6" s="63" t="str">
        <x:v>MODEL  ●  exists in saved .alp</x:v>
      </x:c>
      <x:c r="E6" s="63" t="str">
        <x:v>MODEL  ●  exists in saved .alp</x:v>
      </x:c>
      <x:c r="F6" s="68" t="str">
        <x:v>FIELD  ●  measured</x:v>
      </x:c>
      <x:c r="G6" s="68" t="str">
        <x:v>FIELD  ●  measured</x:v>
      </x:c>
      <x:c r="H6" s="68" t="str">
        <x:v>FIELD  ●  measured</x:v>
      </x:c>
      <x:c r="I6" s="68" t="str">
        <x:v>FIELD  ●  measured</x:v>
      </x:c>
      <x:c r="J6" s="68" t="str">
        <x:v>FIELD  ●  measured</x:v>
      </x:c>
      <x:c r="K6" s="73" t="str">
        <x:v>MOCK  ●  provisional</x:v>
      </x:c>
      <x:c r="L6" s="73" t="str">
        <x:v>MOCK  ●  provisional</x:v>
      </x:c>
      <x:c r="M6" s="73" t="str">
        <x:v>MOCK  ●  provisional</x:v>
      </x:c>
      <x:c r="N6" s="73" t="str">
        <x:v>MOCK  ●  provisional</x:v>
      </x:c>
      <x:c r="O6" s="73" t="str">
        <x:v>MOCK  ●  provisional</x:v>
      </x:c>
      <x:c r="P6" s="78" t="str">
        <x:v>VERIFY  ●  check mapping</x:v>
      </x:c>
      <x:c r="Q6" s="78" t="str">
        <x:v>VERIFY  ●  check mapping</x:v>
      </x:c>
      <x:c r="R6" s="78" t="str">
        <x:v>VERIFY  ●  check mapping</x:v>
      </x:c>
      <x:c r="S6" s="78" t="str">
        <x:v>VERIFY  ●  check mapping</x:v>
      </x:c>
      <x:c r="T6" s="78" t="str">
        <x:v>VERIFY  ●  check mapping</x:v>
      </x:c>
      <x:c r="U6" s="83" t="str">
        <x:v>→  data bindings on next tab</x:v>
      </x:c>
      <x:c r="V6" s="83" t="str">
        <x:v>→  data bindings on next tab</x:v>
      </x:c>
      <x:c r="W6" s="83" t="str">
        <x:v>→  data bindings on next tab</x:v>
      </x:c>
      <x:c r="X6" s="83" t="str">
        <x:v>→  data bindings on next tab</x:v>
      </x:c>
      <x:c r="Y6" s="83" t="str">
        <x:v>→  data bindings on next tab</x:v>
      </x:c>
    </x:row>
    <x:row r="7" ht="25" customHeight="1"/>
    <x:row r="8" ht="25" customHeight="1">
      <x:c r="J8" s="63" t="str">
        <x:v>P1  •  NORTH–MID PARKING
Main parking (verify physical match)
mainParkingIn / mainParkingOut</x:v>
      </x:c>
      <x:c r="K8" s="63" t="str">
        <x:v>P1  •  NORTH–MID PARKING
Main parking (verify physical match)
mainParkingIn / mainParkingOut</x:v>
      </x:c>
      <x:c r="L8" s="63" t="str">
        <x:v>P1  •  NORTH–MID PARKING
Main parking (verify physical match)
mainParkingIn / mainParkingOut</x:v>
      </x:c>
      <x:c r="M8" s="63" t="str">
        <x:v>P1  •  NORTH–MID PARKING
Main parking (verify physical match)
mainParkingIn / mainParkingOut</x:v>
      </x:c>
      <x:c r="N8" s="63" t="str">
        <x:v>P1  •  NORTH–MID PARKING
Main parking (verify physical match)
mainParkingIn / mainParkingOut</x:v>
      </x:c>
      <x:c r="R8" s="63" t="str">
        <x:v>P2  •  NORTH–EAST PARKING
Secondary parking (verify physical match)
secondaryParkingIn / Out</x:v>
      </x:c>
      <x:c r="S8" s="63" t="str">
        <x:v>P2  •  NORTH–EAST PARKING
Secondary parking (verify physical match)
secondaryParkingIn / Out</x:v>
      </x:c>
      <x:c r="T8" s="63" t="str">
        <x:v>P2  •  NORTH–EAST PARKING
Secondary parking (verify physical match)
secondaryParkingIn / Out</x:v>
      </x:c>
      <x:c r="U8" s="63" t="str">
        <x:v>P2  •  NORTH–EAST PARKING
Secondary parking (verify physical match)
secondaryParkingIn / Out</x:v>
      </x:c>
      <x:c r="V8" s="63" t="str">
        <x:v>P2  •  NORTH–EAST PARKING
Secondary parking (verify physical match)
secondaryParkingIn / Out</x:v>
      </x:c>
      <x:c r="W8" s="63" t="str">
        <x:v>P2  •  NORTH–EAST PARKING
Secondary parking (verify physical match)
secondaryParkingIn / Out</x:v>
      </x:c>
    </x:row>
    <x:row r="9" ht="25" customHeight="1">
      <x:c r="J9" s="63" t="str">
        <x:v>P1  •  NORTH–MID PARKING
Main parking (verify physical match)
mainParkingIn / mainParkingOut</x:v>
      </x:c>
      <x:c r="K9" s="63" t="str">
        <x:v>P1  •  NORTH–MID PARKING
Main parking (verify physical match)
mainParkingIn / mainParkingOut</x:v>
      </x:c>
      <x:c r="L9" s="63" t="str">
        <x:v>P1  •  NORTH–MID PARKING
Main parking (verify physical match)
mainParkingIn / mainParkingOut</x:v>
      </x:c>
      <x:c r="M9" s="63" t="str">
        <x:v>P1  •  NORTH–MID PARKING
Main parking (verify physical match)
mainParkingIn / mainParkingOut</x:v>
      </x:c>
      <x:c r="N9" s="63" t="str">
        <x:v>P1  •  NORTH–MID PARKING
Main parking (verify physical match)
mainParkingIn / mainParkingOut</x:v>
      </x:c>
      <x:c r="R9" s="63" t="str">
        <x:v>P2  •  NORTH–EAST PARKING
Secondary parking (verify physical match)
secondaryParkingIn / Out</x:v>
      </x:c>
      <x:c r="S9" s="63" t="str">
        <x:v>P2  •  NORTH–EAST PARKING
Secondary parking (verify physical match)
secondaryParkingIn / Out</x:v>
      </x:c>
      <x:c r="T9" s="63" t="str">
        <x:v>P2  •  NORTH–EAST PARKING
Secondary parking (verify physical match)
secondaryParkingIn / Out</x:v>
      </x:c>
      <x:c r="U9" s="63" t="str">
        <x:v>P2  •  NORTH–EAST PARKING
Secondary parking (verify physical match)
secondaryParkingIn / Out</x:v>
      </x:c>
      <x:c r="V9" s="63" t="str">
        <x:v>P2  •  NORTH–EAST PARKING
Secondary parking (verify physical match)
secondaryParkingIn / Out</x:v>
      </x:c>
      <x:c r="W9" s="63" t="str">
        <x:v>P2  •  NORTH–EAST PARKING
Secondary parking (verify physical match)
secondaryParkingIn / Out</x:v>
      </x:c>
    </x:row>
    <x:row r="10" ht="25" customHeight="1">
      <x:c r="J10" s="63" t="str">
        <x:v>P1  •  NORTH–MID PARKING
Main parking (verify physical match)
mainParkingIn / mainParkingOut</x:v>
      </x:c>
      <x:c r="K10" s="63" t="str">
        <x:v>P1  •  NORTH–MID PARKING
Main parking (verify physical match)
mainParkingIn / mainParkingOut</x:v>
      </x:c>
      <x:c r="L10" s="63" t="str">
        <x:v>P1  •  NORTH–MID PARKING
Main parking (verify physical match)
mainParkingIn / mainParkingOut</x:v>
      </x:c>
      <x:c r="M10" s="63" t="str">
        <x:v>P1  •  NORTH–MID PARKING
Main parking (verify physical match)
mainParkingIn / mainParkingOut</x:v>
      </x:c>
      <x:c r="N10" s="63" t="str">
        <x:v>P1  •  NORTH–MID PARKING
Main parking (verify physical match)
mainParkingIn / mainParkingOut</x:v>
      </x:c>
      <x:c r="R10" s="63" t="str">
        <x:v>P2  •  NORTH–EAST PARKING
Secondary parking (verify physical match)
secondaryParkingIn / Out</x:v>
      </x:c>
      <x:c r="S10" s="63" t="str">
        <x:v>P2  •  NORTH–EAST PARKING
Secondary parking (verify physical match)
secondaryParkingIn / Out</x:v>
      </x:c>
      <x:c r="T10" s="63" t="str">
        <x:v>P2  •  NORTH–EAST PARKING
Secondary parking (verify physical match)
secondaryParkingIn / Out</x:v>
      </x:c>
      <x:c r="U10" s="63" t="str">
        <x:v>P2  •  NORTH–EAST PARKING
Secondary parking (verify physical match)
secondaryParkingIn / Out</x:v>
      </x:c>
      <x:c r="V10" s="63" t="str">
        <x:v>P2  •  NORTH–EAST PARKING
Secondary parking (verify physical match)
secondaryParkingIn / Out</x:v>
      </x:c>
      <x:c r="W10" s="63" t="str">
        <x:v>P2  •  NORTH–EAST PARKING
Secondary parking (verify physical match)
secondaryParkingIn / Out</x:v>
      </x:c>
    </x:row>
    <x:row r="11" ht="25" customHeight="1">
      <x:c r="J11" s="73" t="str">
        <x:v>↑ PARK_IN (NOT WIRED)
↓ PARK_OUT (carSource)</x:v>
      </x:c>
      <x:c r="K11" s="73" t="str">
        <x:v>↑ PARK_IN (NOT WIRED)
↓ PARK_OUT (carSource)</x:v>
      </x:c>
      <x:c r="L11" s="73" t="str">
        <x:v>↑ PARK_IN (NOT WIRED)
↓ PARK_OUT (carSource)</x:v>
      </x:c>
      <x:c r="M11" s="73" t="str">
        <x:v>↑ PARK_IN (NOT WIRED)
↓ PARK_OUT (carSource)</x:v>
      </x:c>
      <x:c r="N11" s="73" t="str">
        <x:v>↑ PARK_IN (NOT WIRED)
↓ PARK_OUT (carSource)</x:v>
      </x:c>
      <x:c r="R11" s="73" t="str">
        <x:v>↑ PARK_IN (NOT WIRED)
↓ PARK_OUT (carSource1)</x:v>
      </x:c>
      <x:c r="S11" s="73" t="str">
        <x:v>↑ PARK_IN (NOT WIRED)
↓ PARK_OUT (carSource1)</x:v>
      </x:c>
      <x:c r="T11" s="73" t="str">
        <x:v>↑ PARK_IN (NOT WIRED)
↓ PARK_OUT (carSource1)</x:v>
      </x:c>
      <x:c r="U11" s="73" t="str">
        <x:v>↑ PARK_IN (NOT WIRED)
↓ PARK_OUT (carSource1)</x:v>
      </x:c>
      <x:c r="V11" s="73" t="str">
        <x:v>↑ PARK_IN (NOT WIRED)
↓ PARK_OUT (carSource1)</x:v>
      </x:c>
      <x:c r="W11" s="73" t="str">
        <x:v>↑ PARK_IN (NOT WIRED)
↓ PARK_OUT (carSource1)</x:v>
      </x:c>
    </x:row>
    <x:row r="12" ht="25" customHeight="1">
      <x:c r="J12" s="73" t="str">
        <x:v>↑ PARK_IN (NOT WIRED)
↓ PARK_OUT (carSource)</x:v>
      </x:c>
      <x:c r="K12" s="73" t="str">
        <x:v>↑ PARK_IN (NOT WIRED)
↓ PARK_OUT (carSource)</x:v>
      </x:c>
      <x:c r="L12" s="73" t="str">
        <x:v>↑ PARK_IN (NOT WIRED)
↓ PARK_OUT (carSource)</x:v>
      </x:c>
      <x:c r="M12" s="73" t="str">
        <x:v>↑ PARK_IN (NOT WIRED)
↓ PARK_OUT (carSource)</x:v>
      </x:c>
      <x:c r="N12" s="73" t="str">
        <x:v>↑ PARK_IN (NOT WIRED)
↓ PARK_OUT (carSource)</x:v>
      </x:c>
      <x:c r="R12" s="73" t="str">
        <x:v>↑ PARK_IN (NOT WIRED)
↓ PARK_OUT (carSource1)</x:v>
      </x:c>
      <x:c r="S12" s="73" t="str">
        <x:v>↑ PARK_IN (NOT WIRED)
↓ PARK_OUT (carSource1)</x:v>
      </x:c>
      <x:c r="T12" s="73" t="str">
        <x:v>↑ PARK_IN (NOT WIRED)
↓ PARK_OUT (carSource1)</x:v>
      </x:c>
      <x:c r="U12" s="73" t="str">
        <x:v>↑ PARK_IN (NOT WIRED)
↓ PARK_OUT (carSource1)</x:v>
      </x:c>
      <x:c r="V12" s="73" t="str">
        <x:v>↑ PARK_IN (NOT WIRED)
↓ PARK_OUT (carSource1)</x:v>
      </x:c>
      <x:c r="W12" s="73" t="str">
        <x:v>↑ PARK_IN (NOT WIRED)
↓ PARK_OUT (carSource1)</x:v>
      </x:c>
    </x:row>
    <x:row r="13" ht="25" customHeight="1"/>
    <x:row r="14" ht="25" customHeight="1"/>
    <x:row r="15" ht="25" customHeight="1">
      <x:c r="A15" s="87" t="str">
        <x:v>WEST EXIT
Straight-through cars
via Chula9Road</x:v>
      </x:c>
      <x:c r="B15" s="87" t="str">
        <x:v>WEST EXIT
Straight-through cars
via Chula9Road</x:v>
      </x:c>
      <x:c r="C15" s="87" t="str">
        <x:v>WEST EXIT
Straight-through cars
via Chula9Road</x:v>
      </x:c>
      <x:c r="D15" s="73" t="str">
        <x:v>J1  /  TURN DECISION
→ 70% straight west
↘ 30% south turn (MOCK)</x:v>
      </x:c>
      <x:c r="E15" s="73" t="str">
        <x:v>J1  /  TURN DECISION
→ 70% straight west
↘ 30% south turn (MOCK)</x:v>
      </x:c>
      <x:c r="F15" s="73" t="str">
        <x:v>J1  /  TURN DECISION
→ 70% straight west
↘ 30% south turn (MOCK)</x:v>
      </x:c>
      <x:c r="G15" s="63" t="str">
        <x:v>J2  /  SIDE MERGE
Join existing main road
from MergeRoad</x:v>
      </x:c>
      <x:c r="H15" s="63" t="str">
        <x:v>J2  /  SIDE MERGE
Join existing main road
from MergeRoad</x:v>
      </x:c>
      <x:c r="I15" s="63" t="str">
        <x:v>J2  /  SIDE MERGE
Join existing main road
from MergeRoad</x:v>
      </x:c>
      <x:c r="J15" s="91" t="str">
        <x:v>X1  /  MAIN ZEBRA
trafficLight + Crossroad
pedWait</x:v>
      </x:c>
      <x:c r="K15" s="91" t="str">
        <x:v>X1  /  MAIN ZEBRA
trafficLight + Crossroad
pedWait</x:v>
      </x:c>
      <x:c r="L15" s="91" t="str">
        <x:v>X1  /  MAIN ZEBRA
trafficLight + Crossroad
pedWait</x:v>
      </x:c>
      <x:c r="M15" s="63" t="str">
        <x:v>Z2+Z3  /  MAIN DROP-OFF
curbSpots_L / curbSpots_R
selectOutput / selectOutput1</x:v>
      </x:c>
      <x:c r="N15" s="63" t="str">
        <x:v>Z2+Z3  /  MAIN DROP-OFF
curbSpots_L / curbSpots_R
selectOutput / selectOutput1</x:v>
      </x:c>
      <x:c r="O15" s="63" t="str">
        <x:v>Z2+Z3  /  MAIN DROP-OFF
curbSpots_L / curbSpots_R
selectOutput / selectOutput1</x:v>
      </x:c>
      <x:c r="P15" s="63" t="str">
        <x:v>Z2+Z3  /  MAIN DROP-OFF
curbSpots_L / curbSpots_R
selectOutput / selectOutput1</x:v>
      </x:c>
      <x:c r="Q15" s="63" t="str">
        <x:v>Z2+Z3  /  MAIN DROP-OFF
curbSpots_L / curbSpots_R
selectOutput / selectOutput1</x:v>
      </x:c>
      <x:c r="R15" s="73" t="str">
        <x:v>PARKING TURN POINTS
P1/P2 IN = route TODO
P1/P2 OUT = source exists</x:v>
      </x:c>
      <x:c r="S15" s="73" t="str">
        <x:v>PARKING TURN POINTS
P1/P2 IN = route TODO
P1/P2 OUT = source exists</x:v>
      </x:c>
      <x:c r="T15" s="73" t="str">
        <x:v>PARKING TURN POINTS
P1/P2 IN = route TODO
P1/P2 OUT = source exists</x:v>
      </x:c>
      <x:c r="U15" s="73" t="str">
        <x:v>PARKING TURN POINTS
P1/P2 IN = route TODO
P1/P2 OUT = source exists</x:v>
      </x:c>
      <x:c r="V15" s="63" t="str">
        <x:v>EAST ENTRY  /  INFLOW 1+2
CarLeftPhayathai
CarRightPhayathai</x:v>
      </x:c>
      <x:c r="W15" s="63" t="str">
        <x:v>EAST ENTRY  /  INFLOW 1+2
CarLeftPhayathai
CarRightPhayathai</x:v>
      </x:c>
      <x:c r="X15" s="63" t="str">
        <x:v>EAST ENTRY  /  INFLOW 1+2
CarLeftPhayathai
CarRightPhayathai</x:v>
      </x:c>
      <x:c r="Y15" s="63" t="str">
        <x:v>EAST ENTRY  /  INFLOW 1+2
CarLeftPhayathai
CarRightPhayathai</x:v>
      </x:c>
    </x:row>
    <x:row r="16" ht="25" customHeight="1">
      <x:c r="A16" s="87" t="str">
        <x:v>WEST EXIT
Straight-through cars
via Chula9Road</x:v>
      </x:c>
      <x:c r="B16" s="87" t="str">
        <x:v>WEST EXIT
Straight-through cars
via Chula9Road</x:v>
      </x:c>
      <x:c r="C16" s="87" t="str">
        <x:v>WEST EXIT
Straight-through cars
via Chula9Road</x:v>
      </x:c>
      <x:c r="D16" s="73" t="str">
        <x:v>J1  /  TURN DECISION
→ 70% straight west
↘ 30% south turn (MOCK)</x:v>
      </x:c>
      <x:c r="E16" s="73" t="str">
        <x:v>J1  /  TURN DECISION
→ 70% straight west
↘ 30% south turn (MOCK)</x:v>
      </x:c>
      <x:c r="F16" s="73" t="str">
        <x:v>J1  /  TURN DECISION
→ 70% straight west
↘ 30% south turn (MOCK)</x:v>
      </x:c>
      <x:c r="G16" s="63" t="str">
        <x:v>J2  /  SIDE MERGE
Join existing main road
from MergeRoad</x:v>
      </x:c>
      <x:c r="H16" s="63" t="str">
        <x:v>J2  /  SIDE MERGE
Join existing main road
from MergeRoad</x:v>
      </x:c>
      <x:c r="I16" s="63" t="str">
        <x:v>J2  /  SIDE MERGE
Join existing main road
from MergeRoad</x:v>
      </x:c>
      <x:c r="J16" s="91" t="str">
        <x:v>X1  /  MAIN ZEBRA
trafficLight + Crossroad
pedWait</x:v>
      </x:c>
      <x:c r="K16" s="91" t="str">
        <x:v>X1  /  MAIN ZEBRA
trafficLight + Crossroad
pedWait</x:v>
      </x:c>
      <x:c r="L16" s="91" t="str">
        <x:v>X1  /  MAIN ZEBRA
trafficLight + Crossroad
pedWait</x:v>
      </x:c>
      <x:c r="M16" s="63" t="str">
        <x:v>Z2+Z3  /  MAIN DROP-OFF
curbSpots_L / curbSpots_R
selectOutput / selectOutput1</x:v>
      </x:c>
      <x:c r="N16" s="63" t="str">
        <x:v>Z2+Z3  /  MAIN DROP-OFF
curbSpots_L / curbSpots_R
selectOutput / selectOutput1</x:v>
      </x:c>
      <x:c r="O16" s="63" t="str">
        <x:v>Z2+Z3  /  MAIN DROP-OFF
curbSpots_L / curbSpots_R
selectOutput / selectOutput1</x:v>
      </x:c>
      <x:c r="P16" s="63" t="str">
        <x:v>Z2+Z3  /  MAIN DROP-OFF
curbSpots_L / curbSpots_R
selectOutput / selectOutput1</x:v>
      </x:c>
      <x:c r="Q16" s="63" t="str">
        <x:v>Z2+Z3  /  MAIN DROP-OFF
curbSpots_L / curbSpots_R
selectOutput / selectOutput1</x:v>
      </x:c>
      <x:c r="R16" s="73" t="str">
        <x:v>PARKING TURN POINTS
P1/P2 IN = route TODO
P1/P2 OUT = source exists</x:v>
      </x:c>
      <x:c r="S16" s="73" t="str">
        <x:v>PARKING TURN POINTS
P1/P2 IN = route TODO
P1/P2 OUT = source exists</x:v>
      </x:c>
      <x:c r="T16" s="73" t="str">
        <x:v>PARKING TURN POINTS
P1/P2 IN = route TODO
P1/P2 OUT = source exists</x:v>
      </x:c>
      <x:c r="U16" s="73" t="str">
        <x:v>PARKING TURN POINTS
P1/P2 IN = route TODO
P1/P2 OUT = source exists</x:v>
      </x:c>
      <x:c r="V16" s="63" t="str">
        <x:v>EAST ENTRY  /  INFLOW 1+2
CarLeftPhayathai
CarRightPhayathai</x:v>
      </x:c>
      <x:c r="W16" s="63" t="str">
        <x:v>EAST ENTRY  /  INFLOW 1+2
CarLeftPhayathai
CarRightPhayathai</x:v>
      </x:c>
      <x:c r="X16" s="63" t="str">
        <x:v>EAST ENTRY  /  INFLOW 1+2
CarLeftPhayathai
CarRightPhayathai</x:v>
      </x:c>
      <x:c r="Y16" s="63" t="str">
        <x:v>EAST ENTRY  /  INFLOW 1+2
CarLeftPhayathai
CarRightPhayathai</x:v>
      </x:c>
    </x:row>
    <x:row r="17" ht="25" customHeight="1">
      <x:c r="A17" s="87" t="str">
        <x:v>WEST EXIT
Straight-through cars
via Chula9Road</x:v>
      </x:c>
      <x:c r="B17" s="87" t="str">
        <x:v>WEST EXIT
Straight-through cars
via Chula9Road</x:v>
      </x:c>
      <x:c r="C17" s="87" t="str">
        <x:v>WEST EXIT
Straight-through cars
via Chula9Road</x:v>
      </x:c>
      <x:c r="D17" s="73" t="str">
        <x:v>J1  /  TURN DECISION
→ 70% straight west
↘ 30% south turn (MOCK)</x:v>
      </x:c>
      <x:c r="E17" s="73" t="str">
        <x:v>J1  /  TURN DECISION
→ 70% straight west
↘ 30% south turn (MOCK)</x:v>
      </x:c>
      <x:c r="F17" s="73" t="str">
        <x:v>J1  /  TURN DECISION
→ 70% straight west
↘ 30% south turn (MOCK)</x:v>
      </x:c>
      <x:c r="G17" s="63" t="str">
        <x:v>J2  /  SIDE MERGE
Join existing main road
from MergeRoad</x:v>
      </x:c>
      <x:c r="H17" s="63" t="str">
        <x:v>J2  /  SIDE MERGE
Join existing main road
from MergeRoad</x:v>
      </x:c>
      <x:c r="I17" s="63" t="str">
        <x:v>J2  /  SIDE MERGE
Join existing main road
from MergeRoad</x:v>
      </x:c>
      <x:c r="J17" s="91" t="str">
        <x:v>X1  /  MAIN ZEBRA
trafficLight + Crossroad
pedWait</x:v>
      </x:c>
      <x:c r="K17" s="91" t="str">
        <x:v>X1  /  MAIN ZEBRA
trafficLight + Crossroad
pedWait</x:v>
      </x:c>
      <x:c r="L17" s="91" t="str">
        <x:v>X1  /  MAIN ZEBRA
trafficLight + Crossroad
pedWait</x:v>
      </x:c>
      <x:c r="M17" s="63" t="str">
        <x:v>Z2+Z3  /  MAIN DROP-OFF
curbSpots_L / curbSpots_R
selectOutput / selectOutput1</x:v>
      </x:c>
      <x:c r="N17" s="63" t="str">
        <x:v>Z2+Z3  /  MAIN DROP-OFF
curbSpots_L / curbSpots_R
selectOutput / selectOutput1</x:v>
      </x:c>
      <x:c r="O17" s="63" t="str">
        <x:v>Z2+Z3  /  MAIN DROP-OFF
curbSpots_L / curbSpots_R
selectOutput / selectOutput1</x:v>
      </x:c>
      <x:c r="P17" s="63" t="str">
        <x:v>Z2+Z3  /  MAIN DROP-OFF
curbSpots_L / curbSpots_R
selectOutput / selectOutput1</x:v>
      </x:c>
      <x:c r="Q17" s="63" t="str">
        <x:v>Z2+Z3  /  MAIN DROP-OFF
curbSpots_L / curbSpots_R
selectOutput / selectOutput1</x:v>
      </x:c>
      <x:c r="R17" s="73" t="str">
        <x:v>PARKING TURN POINTS
P1/P2 IN = route TODO
P1/P2 OUT = source exists</x:v>
      </x:c>
      <x:c r="S17" s="73" t="str">
        <x:v>PARKING TURN POINTS
P1/P2 IN = route TODO
P1/P2 OUT = source exists</x:v>
      </x:c>
      <x:c r="T17" s="73" t="str">
        <x:v>PARKING TURN POINTS
P1/P2 IN = route TODO
P1/P2 OUT = source exists</x:v>
      </x:c>
      <x:c r="U17" s="73" t="str">
        <x:v>PARKING TURN POINTS
P1/P2 IN = route TODO
P1/P2 OUT = source exists</x:v>
      </x:c>
      <x:c r="V17" s="63" t="str">
        <x:v>EAST ENTRY  /  INFLOW 1+2
CarLeftPhayathai
CarRightPhayathai</x:v>
      </x:c>
      <x:c r="W17" s="63" t="str">
        <x:v>EAST ENTRY  /  INFLOW 1+2
CarLeftPhayathai
CarRightPhayathai</x:v>
      </x:c>
      <x:c r="X17" s="63" t="str">
        <x:v>EAST ENTRY  /  INFLOW 1+2
CarLeftPhayathai
CarRightPhayathai</x:v>
      </x:c>
      <x:c r="Y17" s="63" t="str">
        <x:v>EAST ENTRY  /  INFLOW 1+2
CarLeftPhayathai
CarRightPhayathai</x:v>
      </x:c>
    </x:row>
    <x:row r="18" ht="25" customHeight="1">
      <x:c r="A18" s="87" t="str">
        <x:v>WEST EXIT
Straight-through cars
via Chula9Road</x:v>
      </x:c>
      <x:c r="B18" s="87" t="str">
        <x:v>WEST EXIT
Straight-through cars
via Chula9Road</x:v>
      </x:c>
      <x:c r="C18" s="87" t="str">
        <x:v>WEST EXIT
Straight-through cars
via Chula9Road</x:v>
      </x:c>
      <x:c r="D18" s="73" t="str">
        <x:v>J1  /  TURN DECISION
→ 70% straight west
↘ 30% south turn (MOCK)</x:v>
      </x:c>
      <x:c r="E18" s="73" t="str">
        <x:v>J1  /  TURN DECISION
→ 70% straight west
↘ 30% south turn (MOCK)</x:v>
      </x:c>
      <x:c r="F18" s="73" t="str">
        <x:v>J1  /  TURN DECISION
→ 70% straight west
↘ 30% south turn (MOCK)</x:v>
      </x:c>
      <x:c r="G18" s="63" t="str">
        <x:v>J2  /  SIDE MERGE
Join existing main road
from MergeRoad</x:v>
      </x:c>
      <x:c r="H18" s="63" t="str">
        <x:v>J2  /  SIDE MERGE
Join existing main road
from MergeRoad</x:v>
      </x:c>
      <x:c r="I18" s="63" t="str">
        <x:v>J2  /  SIDE MERGE
Join existing main road
from MergeRoad</x:v>
      </x:c>
      <x:c r="J18" s="91" t="str">
        <x:v>X1  /  MAIN ZEBRA
trafficLight + Crossroad
pedWait</x:v>
      </x:c>
      <x:c r="K18" s="91" t="str">
        <x:v>X1  /  MAIN ZEBRA
trafficLight + Crossroad
pedWait</x:v>
      </x:c>
      <x:c r="L18" s="91" t="str">
        <x:v>X1  /  MAIN ZEBRA
trafficLight + Crossroad
pedWait</x:v>
      </x:c>
      <x:c r="M18" s="63" t="str">
        <x:v>Z2+Z3  /  MAIN DROP-OFF
curbSpots_L / curbSpots_R
selectOutput / selectOutput1</x:v>
      </x:c>
      <x:c r="N18" s="63" t="str">
        <x:v>Z2+Z3  /  MAIN DROP-OFF
curbSpots_L / curbSpots_R
selectOutput / selectOutput1</x:v>
      </x:c>
      <x:c r="O18" s="63" t="str">
        <x:v>Z2+Z3  /  MAIN DROP-OFF
curbSpots_L / curbSpots_R
selectOutput / selectOutput1</x:v>
      </x:c>
      <x:c r="P18" s="63" t="str">
        <x:v>Z2+Z3  /  MAIN DROP-OFF
curbSpots_L / curbSpots_R
selectOutput / selectOutput1</x:v>
      </x:c>
      <x:c r="Q18" s="63" t="str">
        <x:v>Z2+Z3  /  MAIN DROP-OFF
curbSpots_L / curbSpots_R
selectOutput / selectOutput1</x:v>
      </x:c>
      <x:c r="R18" s="73" t="str">
        <x:v>PARKING TURN POINTS
P1/P2 IN = route TODO
P1/P2 OUT = source exists</x:v>
      </x:c>
      <x:c r="S18" s="73" t="str">
        <x:v>PARKING TURN POINTS
P1/P2 IN = route TODO
P1/P2 OUT = source exists</x:v>
      </x:c>
      <x:c r="T18" s="73" t="str">
        <x:v>PARKING TURN POINTS
P1/P2 IN = route TODO
P1/P2 OUT = source exists</x:v>
      </x:c>
      <x:c r="U18" s="73" t="str">
        <x:v>PARKING TURN POINTS
P1/P2 IN = route TODO
P1/P2 OUT = source exists</x:v>
      </x:c>
      <x:c r="V18" s="63" t="str">
        <x:v>EAST ENTRY  /  INFLOW 1+2
CarLeftPhayathai
CarRightPhayathai</x:v>
      </x:c>
      <x:c r="W18" s="63" t="str">
        <x:v>EAST ENTRY  /  INFLOW 1+2
CarLeftPhayathai
CarRightPhayathai</x:v>
      </x:c>
      <x:c r="X18" s="63" t="str">
        <x:v>EAST ENTRY  /  INFLOW 1+2
CarLeftPhayathai
CarRightPhayathai</x:v>
      </x:c>
      <x:c r="Y18" s="63" t="str">
        <x:v>EAST ENTRY  /  INFLOW 1+2
CarLeftPhayathai
CarRightPhayathai</x:v>
      </x:c>
    </x:row>
    <x:row r="19" ht="25" customHeight="1">
      <x:c r="A19" s="96" t="str">
        <x:v>◄────────  VEHICLES DRIVE EAST → WEST  |  SOURCE → PARKING ACCESS → MAIN DROP-OFF → ZEBRA 1 → SIDE MERGE → TURN JUNCTION  ────────◄</x:v>
      </x:c>
      <x:c r="B19" s="96" t="str">
        <x:v>◄─────────  Main corridor:  EAST SOURCE → PARKING access → MAIN DROP-OFF → MAIN ZEBRA → SIDE MERGE → LEFT / STRAIGHT junction  ─────────►</x:v>
      </x:c>
      <x:c r="C19" s="96" t="str">
        <x:v>◄─────────  Main corridor:  EAST SOURCE → PARKING access → MAIN DROP-OFF → MAIN ZEBRA → SIDE MERGE → LEFT / STRAIGHT junction  ─────────►</x:v>
      </x:c>
      <x:c r="D19" s="96" t="str">
        <x:v>◄─────────  Main corridor:  EAST SOURCE → PARKING access → MAIN DROP-OFF → MAIN ZEBRA → SIDE MERGE → LEFT / STRAIGHT junction  ─────────►</x:v>
      </x:c>
      <x:c r="E19" s="96" t="str">
        <x:v>◄─────────  Main corridor:  EAST SOURCE → PARKING access → MAIN DROP-OFF → MAIN ZEBRA → SIDE MERGE → LEFT / STRAIGHT junction  ─────────►</x:v>
      </x:c>
      <x:c r="F19" s="96" t="str">
        <x:v>◄─────────  Main corridor:  EAST SOURCE → PARKING access → MAIN DROP-OFF → MAIN ZEBRA → SIDE MERGE → LEFT / STRAIGHT junction  ─────────►</x:v>
      </x:c>
      <x:c r="G19" s="96" t="str">
        <x:v>◄─────────  Main corridor:  EAST SOURCE → PARKING access → MAIN DROP-OFF → MAIN ZEBRA → SIDE MERGE → LEFT / STRAIGHT junction  ─────────►</x:v>
      </x:c>
      <x:c r="H19" s="96" t="str">
        <x:v>◄─────────  Main corridor:  EAST SOURCE → PARKING access → MAIN DROP-OFF → MAIN ZEBRA → SIDE MERGE → LEFT / STRAIGHT junction  ─────────►</x:v>
      </x:c>
      <x:c r="I19" s="96" t="str">
        <x:v>◄─────────  Main corridor:  EAST SOURCE → PARKING access → MAIN DROP-OFF → MAIN ZEBRA → SIDE MERGE → LEFT / STRAIGHT junction  ─────────►</x:v>
      </x:c>
      <x:c r="J19" s="96" t="str">
        <x:v>◄─────────  Main corridor:  EAST SOURCE → PARKING access → MAIN DROP-OFF → MAIN ZEBRA → SIDE MERGE → LEFT / STRAIGHT junction  ─────────►</x:v>
      </x:c>
      <x:c r="K19" s="96" t="str">
        <x:v>◄─────────  Main corridor:  EAST SOURCE → PARKING access → MAIN DROP-OFF → MAIN ZEBRA → SIDE MERGE → LEFT / STRAIGHT junction  ─────────►</x:v>
      </x:c>
      <x:c r="L19" s="96" t="str">
        <x:v>◄─────────  Main corridor:  EAST SOURCE → PARKING access → MAIN DROP-OFF → MAIN ZEBRA → SIDE MERGE → LEFT / STRAIGHT junction  ─────────►</x:v>
      </x:c>
      <x:c r="M19" s="96" t="str">
        <x:v>◄─────────  Main corridor:  EAST SOURCE → PARKING access → MAIN DROP-OFF → MAIN ZEBRA → SIDE MERGE → LEFT / STRAIGHT junction  ─────────►</x:v>
      </x:c>
      <x:c r="N19" s="96" t="str">
        <x:v>◄─────────  Main corridor:  EAST SOURCE → PARKING access → MAIN DROP-OFF → MAIN ZEBRA → SIDE MERGE → LEFT / STRAIGHT junction  ─────────►</x:v>
      </x:c>
      <x:c r="O19" s="96" t="str">
        <x:v>◄─────────  Main corridor:  EAST SOURCE → PARKING access → MAIN DROP-OFF → MAIN ZEBRA → SIDE MERGE → LEFT / STRAIGHT junction  ─────────►</x:v>
      </x:c>
      <x:c r="P19" s="96" t="str">
        <x:v>◄─────────  Main corridor:  EAST SOURCE → PARKING access → MAIN DROP-OFF → MAIN ZEBRA → SIDE MERGE → LEFT / STRAIGHT junction  ─────────►</x:v>
      </x:c>
      <x:c r="Q19" s="96" t="str">
        <x:v>◄─────────  Main corridor:  EAST SOURCE → PARKING access → MAIN DROP-OFF → MAIN ZEBRA → SIDE MERGE → LEFT / STRAIGHT junction  ─────────►</x:v>
      </x:c>
      <x:c r="R19" s="96" t="str">
        <x:v>◄─────────  Main corridor:  EAST SOURCE → PARKING access → MAIN DROP-OFF → MAIN ZEBRA → SIDE MERGE → LEFT / STRAIGHT junction  ─────────►</x:v>
      </x:c>
      <x:c r="S19" s="96" t="str">
        <x:v>◄─────────  Main corridor:  EAST SOURCE → PARKING access → MAIN DROP-OFF → MAIN ZEBRA → SIDE MERGE → LEFT / STRAIGHT junction  ─────────►</x:v>
      </x:c>
      <x:c r="T19" s="96" t="str">
        <x:v>◄─────────  Main corridor:  EAST SOURCE → PARKING access → MAIN DROP-OFF → MAIN ZEBRA → SIDE MERGE → LEFT / STRAIGHT junction  ─────────►</x:v>
      </x:c>
      <x:c r="U19" s="96" t="str">
        <x:v>◄─────────  Main corridor:  EAST SOURCE → PARKING access → MAIN DROP-OFF → MAIN ZEBRA → SIDE MERGE → LEFT / STRAIGHT junction  ─────────►</x:v>
      </x:c>
      <x:c r="V19" s="96" t="str">
        <x:v>◄─────────  Main corridor:  EAST SOURCE → PARKING access → MAIN DROP-OFF → MAIN ZEBRA → SIDE MERGE → LEFT / STRAIGHT junction  ─────────►</x:v>
      </x:c>
      <x:c r="W19" s="96" t="str">
        <x:v>◄─────────  Main corridor:  EAST SOURCE → PARKING access → MAIN DROP-OFF → MAIN ZEBRA → SIDE MERGE → LEFT / STRAIGHT junction  ─────────►</x:v>
      </x:c>
      <x:c r="X19" s="96" t="str">
        <x:v>◄─────────  Main corridor:  EAST SOURCE → PARKING access → MAIN DROP-OFF → MAIN ZEBRA → SIDE MERGE → LEFT / STRAIGHT junction  ─────────►</x:v>
      </x:c>
      <x:c r="Y19" s="96" t="str">
        <x:v>◄─────────  Main corridor:  EAST SOURCE → PARKING access → MAIN DROP-OFF → MAIN ZEBRA → SIDE MERGE → LEFT / STRAIGHT junction  ─────────►</x:v>
      </x:c>
    </x:row>
    <x:row r="20" ht="25" customHeight="1">
      <x:c r="A20" s="96" t="str">
        <x:v>◄─────────  Main corridor:  EAST SOURCE → PARKING access → MAIN DROP-OFF → MAIN ZEBRA → SIDE MERGE → LEFT / STRAIGHT junction  ─────────►</x:v>
      </x:c>
      <x:c r="B20" s="96" t="str">
        <x:v>◄─────────  Main corridor:  EAST SOURCE → PARKING access → MAIN DROP-OFF → MAIN ZEBRA → SIDE MERGE → LEFT / STRAIGHT junction  ─────────►</x:v>
      </x:c>
      <x:c r="C20" s="96" t="str">
        <x:v>◄─────────  Main corridor:  EAST SOURCE → PARKING access → MAIN DROP-OFF → MAIN ZEBRA → SIDE MERGE → LEFT / STRAIGHT junction  ─────────►</x:v>
      </x:c>
      <x:c r="D20" s="96" t="str">
        <x:v>◄─────────  Main corridor:  EAST SOURCE → PARKING access → MAIN DROP-OFF → MAIN ZEBRA → SIDE MERGE → LEFT / STRAIGHT junction  ─────────►</x:v>
      </x:c>
      <x:c r="E20" s="96" t="str">
        <x:v>◄─────────  Main corridor:  EAST SOURCE → PARKING access → MAIN DROP-OFF → MAIN ZEBRA → SIDE MERGE → LEFT / STRAIGHT junction  ─────────►</x:v>
      </x:c>
      <x:c r="F20" s="96" t="str">
        <x:v>◄─────────  Main corridor:  EAST SOURCE → PARKING access → MAIN DROP-OFF → MAIN ZEBRA → SIDE MERGE → LEFT / STRAIGHT junction  ─────────►</x:v>
      </x:c>
      <x:c r="G20" s="96" t="str">
        <x:v>◄─────────  Main corridor:  EAST SOURCE → PARKING access → MAIN DROP-OFF → MAIN ZEBRA → SIDE MERGE → LEFT / STRAIGHT junction  ─────────►</x:v>
      </x:c>
      <x:c r="H20" s="96" t="str">
        <x:v>◄─────────  Main corridor:  EAST SOURCE → PARKING access → MAIN DROP-OFF → MAIN ZEBRA → SIDE MERGE → LEFT / STRAIGHT junction  ─────────►</x:v>
      </x:c>
      <x:c r="I20" s="96" t="str">
        <x:v>◄─────────  Main corridor:  EAST SOURCE → PARKING access → MAIN DROP-OFF → MAIN ZEBRA → SIDE MERGE → LEFT / STRAIGHT junction  ─────────►</x:v>
      </x:c>
      <x:c r="J20" s="96" t="str">
        <x:v>◄─────────  Main corridor:  EAST SOURCE → PARKING access → MAIN DROP-OFF → MAIN ZEBRA → SIDE MERGE → LEFT / STRAIGHT junction  ─────────►</x:v>
      </x:c>
      <x:c r="K20" s="96" t="str">
        <x:v>◄─────────  Main corridor:  EAST SOURCE → PARKING access → MAIN DROP-OFF → MAIN ZEBRA → SIDE MERGE → LEFT / STRAIGHT junction  ─────────►</x:v>
      </x:c>
      <x:c r="L20" s="96" t="str">
        <x:v>◄─────────  Main corridor:  EAST SOURCE → PARKING access → MAIN DROP-OFF → MAIN ZEBRA → SIDE MERGE → LEFT / STRAIGHT junction  ─────────►</x:v>
      </x:c>
      <x:c r="M20" s="96" t="str">
        <x:v>◄─────────  Main corridor:  EAST SOURCE → PARKING access → MAIN DROP-OFF → MAIN ZEBRA → SIDE MERGE → LEFT / STRAIGHT junction  ─────────►</x:v>
      </x:c>
      <x:c r="N20" s="96" t="str">
        <x:v>◄─────────  Main corridor:  EAST SOURCE → PARKING access → MAIN DROP-OFF → MAIN ZEBRA → SIDE MERGE → LEFT / STRAIGHT junction  ─────────►</x:v>
      </x:c>
      <x:c r="O20" s="96" t="str">
        <x:v>◄─────────  Main corridor:  EAST SOURCE → PARKING access → MAIN DROP-OFF → MAIN ZEBRA → SIDE MERGE → LEFT / STRAIGHT junction  ─────────►</x:v>
      </x:c>
      <x:c r="P20" s="96" t="str">
        <x:v>◄─────────  Main corridor:  EAST SOURCE → PARKING access → MAIN DROP-OFF → MAIN ZEBRA → SIDE MERGE → LEFT / STRAIGHT junction  ─────────►</x:v>
      </x:c>
      <x:c r="Q20" s="96" t="str">
        <x:v>◄─────────  Main corridor:  EAST SOURCE → PARKING access → MAIN DROP-OFF → MAIN ZEBRA → SIDE MERGE → LEFT / STRAIGHT junction  ─────────►</x:v>
      </x:c>
      <x:c r="R20" s="96" t="str">
        <x:v>◄─────────  Main corridor:  EAST SOURCE → PARKING access → MAIN DROP-OFF → MAIN ZEBRA → SIDE MERGE → LEFT / STRAIGHT junction  ─────────►</x:v>
      </x:c>
      <x:c r="S20" s="96" t="str">
        <x:v>◄─────────  Main corridor:  EAST SOURCE → PARKING access → MAIN DROP-OFF → MAIN ZEBRA → SIDE MERGE → LEFT / STRAIGHT junction  ─────────►</x:v>
      </x:c>
      <x:c r="T20" s="96" t="str">
        <x:v>◄─────────  Main corridor:  EAST SOURCE → PARKING access → MAIN DROP-OFF → MAIN ZEBRA → SIDE MERGE → LEFT / STRAIGHT junction  ─────────►</x:v>
      </x:c>
      <x:c r="U20" s="96" t="str">
        <x:v>◄─────────  Main corridor:  EAST SOURCE → PARKING access → MAIN DROP-OFF → MAIN ZEBRA → SIDE MERGE → LEFT / STRAIGHT junction  ─────────►</x:v>
      </x:c>
      <x:c r="V20" s="96" t="str">
        <x:v>◄─────────  Main corridor:  EAST SOURCE → PARKING access → MAIN DROP-OFF → MAIN ZEBRA → SIDE MERGE → LEFT / STRAIGHT junction  ─────────►</x:v>
      </x:c>
      <x:c r="W20" s="96" t="str">
        <x:v>◄─────────  Main corridor:  EAST SOURCE → PARKING access → MAIN DROP-OFF → MAIN ZEBRA → SIDE MERGE → LEFT / STRAIGHT junction  ─────────►</x:v>
      </x:c>
      <x:c r="X20" s="96" t="str">
        <x:v>◄─────────  Main corridor:  EAST SOURCE → PARKING access → MAIN DROP-OFF → MAIN ZEBRA → SIDE MERGE → LEFT / STRAIGHT junction  ─────────►</x:v>
      </x:c>
      <x:c r="Y20" s="96" t="str">
        <x:v>◄─────────  Main corridor:  EAST SOURCE → PARKING access → MAIN DROP-OFF → MAIN ZEBRA → SIDE MERGE → LEFT / STRAIGHT junction  ─────────►</x:v>
      </x:c>
    </x:row>
    <x:row r="21" ht="25" customHeight="1">
      <x:c r="G21" s="100" t="str">
        <x:v>▲ merge to main road</x:v>
      </x:c>
      <x:c r="H21" s="100" t="str">
        <x:v>▲ merge to main road</x:v>
      </x:c>
      <x:c r="I21" s="100" t="str">
        <x:v>▲ merge to main road</x:v>
      </x:c>
    </x:row>
    <x:row r="22" ht="25" customHeight="1">
      <x:c r="D22" s="104" t="str">
        <x:v>▼ Left turn to SOUTH</x:v>
      </x:c>
      <x:c r="E22" s="104" t="str">
        <x:v>▼ Left turn to SOUTH</x:v>
      </x:c>
      <x:c r="F22" s="104" t="str">
        <x:v>▼ Left turn to SOUTH</x:v>
      </x:c>
      <x:c r="G22" s="68" t="str">
        <x:v>INFLOW 5 / SIDE ROAD
CarLeftSecond + CarRightSecond
172 + 351 / 100min (FIELD)</x:v>
      </x:c>
      <x:c r="H22" s="68" t="str">
        <x:v>INFLOW 5 / SIDE ROAD
CarLeftSecond + CarRightSecond
172 + 351 / 100min (FIELD)</x:v>
      </x:c>
      <x:c r="I22" s="68" t="str">
        <x:v>INFLOW 5 / SIDE ROAD
CarLeftSecond + CarRightSecond
172 + 351 / 100min (FIELD)</x:v>
      </x:c>
    </x:row>
    <x:row r="23" ht="25" customHeight="1">
      <x:c r="D23" s="104" t="str">
        <x:v>▼ Left turn to SOUTH</x:v>
      </x:c>
      <x:c r="E23" s="104" t="str">
        <x:v>▼ Left turn to SOUTH</x:v>
      </x:c>
      <x:c r="F23" s="104" t="str">
        <x:v>▼ Left turn to SOUTH</x:v>
      </x:c>
      <x:c r="G23" s="68" t="str">
        <x:v>INFLOW 5 / SIDE ROAD
CarLeftSecond + CarRightSecond
172 + 351 / 100min (FIELD)</x:v>
      </x:c>
      <x:c r="H23" s="68" t="str">
        <x:v>INFLOW 5 / SIDE ROAD
CarLeftSecond + CarRightSecond
172 + 351 / 100min (FIELD)</x:v>
      </x:c>
      <x:c r="I23" s="68" t="str">
        <x:v>INFLOW 5 / SIDE ROAD
CarLeftSecond + CarRightSecond
172 + 351 / 100min (FIELD)</x:v>
      </x:c>
      <x:c r="J23" s="68" t="str">
        <x:v>PED 1 / MAIN CROSSING
pedEntrance1Source
pedRateSchedule = FIELD
889 pedestrians / 100min</x:v>
      </x:c>
      <x:c r="K23" s="68" t="str">
        <x:v>PED 1 / MAIN CROSSING
pedEntrance1Source
pedRateSchedule = FIELD
889 pedestrians / 100min</x:v>
      </x:c>
      <x:c r="L23" s="68" t="str">
        <x:v>PED 1 / MAIN CROSSING
pedEntrance1Source
pedRateSchedule = FIELD
889 pedestrians / 100min</x:v>
      </x:c>
      <x:c r="M23" s="68" t="str">
        <x:v>PED 1 / MAIN CROSSING
pedEntrance1Source
pedRateSchedule = FIELD
889 pedestrians / 100min</x:v>
      </x:c>
    </x:row>
    <x:row r="24" ht="25" customHeight="1">
      <x:c r="D24" s="73" t="str">
        <x:v>Z1  /  SECOND DROP-OFF
SecondEntranceRoad
LEFT lane only (rule)
selectOutput4 / seize2</x:v>
      </x:c>
      <x:c r="E24" s="73" t="str">
        <x:v>Z1  /  SECOND DROP-OFF
SecondEntranceRoad
LEFT lane only (rule)
selectOutput4 / seize2</x:v>
      </x:c>
      <x:c r="F24" s="73" t="str">
        <x:v>Z1  /  SECOND DROP-OFF
SecondEntranceRoad
LEFT lane only (rule)
selectOutput4 / seize2</x:v>
      </x:c>
      <x:c r="G24" s="68" t="str">
        <x:v>INFLOW 5 / SIDE ROAD
CarLeftSecond + CarRightSecond
172 + 351 / 100min (FIELD)</x:v>
      </x:c>
      <x:c r="H24" s="68" t="str">
        <x:v>INFLOW 5 / SIDE ROAD
CarLeftSecond + CarRightSecond
172 + 351 / 100min (FIELD)</x:v>
      </x:c>
      <x:c r="I24" s="68" t="str">
        <x:v>INFLOW 5 / SIDE ROAD
CarLeftSecond + CarRightSecond
172 + 351 / 100min (FIELD)</x:v>
      </x:c>
      <x:c r="J24" s="68" t="str">
        <x:v>PED 1 / MAIN CROSSING
pedEntrance1Source
pedRateSchedule = FIELD
889 pedestrians / 100min</x:v>
      </x:c>
      <x:c r="K24" s="68" t="str">
        <x:v>PED 1 / MAIN CROSSING
pedEntrance1Source
pedRateSchedule = FIELD
889 pedestrians / 100min</x:v>
      </x:c>
      <x:c r="L24" s="68" t="str">
        <x:v>PED 1 / MAIN CROSSING
pedEntrance1Source
pedRateSchedule = FIELD
889 pedestrians / 100min</x:v>
      </x:c>
      <x:c r="M24" s="68" t="str">
        <x:v>PED 1 / MAIN CROSSING
pedEntrance1Source
pedRateSchedule = FIELD
889 pedestrians / 100min</x:v>
      </x:c>
    </x:row>
    <x:row r="25" ht="25" customHeight="1">
      <x:c r="D25" s="73" t="str">
        <x:v>Z1  /  SECOND DROP-OFF
SecondEntranceRoad
LEFT lane only (rule)
selectOutput4 / seize2</x:v>
      </x:c>
      <x:c r="E25" s="73" t="str">
        <x:v>Z1  /  SECOND DROP-OFF
SecondEntranceRoad
LEFT lane only (rule)
selectOutput4 / seize2</x:v>
      </x:c>
      <x:c r="F25" s="73" t="str">
        <x:v>Z1  /  SECOND DROP-OFF
SecondEntranceRoad
LEFT lane only (rule)
selectOutput4 / seize2</x:v>
      </x:c>
      <x:c r="J25" s="68" t="str">
        <x:v>PED 1 / MAIN CROSSING
pedEntrance1Source
pedRateSchedule = FIELD
889 pedestrians / 100min</x:v>
      </x:c>
      <x:c r="K25" s="68" t="str">
        <x:v>PED 1 / MAIN CROSSING
pedEntrance1Source
pedRateSchedule = FIELD
889 pedestrians / 100min</x:v>
      </x:c>
      <x:c r="L25" s="68" t="str">
        <x:v>PED 1 / MAIN CROSSING
pedEntrance1Source
pedRateSchedule = FIELD
889 pedestrians / 100min</x:v>
      </x:c>
      <x:c r="M25" s="68" t="str">
        <x:v>PED 1 / MAIN CROSSING
pedEntrance1Source
pedRateSchedule = FIELD
889 pedestrians / 100min</x:v>
      </x:c>
    </x:row>
    <x:row r="26" ht="25" customHeight="1">
      <x:c r="D26" s="73" t="str">
        <x:v>Z1  /  SECOND DROP-OFF
SecondEntranceRoad
LEFT lane only (rule)
selectOutput4 / seize2</x:v>
      </x:c>
      <x:c r="E26" s="73" t="str">
        <x:v>Z1  /  SECOND DROP-OFF
SecondEntranceRoad
LEFT lane only (rule)
selectOutput4 / seize2</x:v>
      </x:c>
      <x:c r="F26" s="73" t="str">
        <x:v>Z1  /  SECOND DROP-OFF
SecondEntranceRoad
LEFT lane only (rule)
selectOutput4 / seize2</x:v>
      </x:c>
      <x:c r="J26" s="68" t="str">
        <x:v>PED 1 / MAIN CROSSING
pedEntrance1Source
pedRateSchedule = FIELD
889 pedestrians / 100min</x:v>
      </x:c>
      <x:c r="K26" s="68" t="str">
        <x:v>PED 1 / MAIN CROSSING
pedEntrance1Source
pedRateSchedule = FIELD
889 pedestrians / 100min</x:v>
      </x:c>
      <x:c r="L26" s="68" t="str">
        <x:v>PED 1 / MAIN CROSSING
pedEntrance1Source
pedRateSchedule = FIELD
889 pedestrians / 100min</x:v>
      </x:c>
      <x:c r="M26" s="68" t="str">
        <x:v>PED 1 / MAIN CROSSING
pedEntrance1Source
pedRateSchedule = FIELD
889 pedestrians / 100min</x:v>
      </x:c>
    </x:row>
    <x:row r="27" ht="25" customHeight="1">
      <x:c r="D27" s="73" t="str">
        <x:v>Z1  /  SECOND DROP-OFF
SecondEntranceRoad
LEFT lane only (rule)
selectOutput4 / seize2</x:v>
      </x:c>
      <x:c r="E27" s="73" t="str">
        <x:v>Z1  /  SECOND DROP-OFF
SecondEntranceRoad
LEFT lane only (rule)
selectOutput4 / seize2</x:v>
      </x:c>
      <x:c r="F27" s="73" t="str">
        <x:v>Z1  /  SECOND DROP-OFF
SecondEntranceRoad
LEFT lane only (rule)
selectOutput4 / seize2</x:v>
      </x:c>
    </x:row>
    <x:row r="28" ht="25" customHeight="1"/>
    <x:row r="29" ht="25" customHeight="1">
      <x:c r="A29" s="78" t="str">
        <x:v>PED 2 / SECOND CROSSING
pedEntrance2Source
222 /100min = MOCK
currently linked wrong schedule</x:v>
      </x:c>
      <x:c r="B29" s="78" t="str">
        <x:v>PED 2 / SECOND CROSSING
pedEntrance2Source
222 /100min = MOCK
currently linked wrong schedule</x:v>
      </x:c>
      <x:c r="C29" s="78" t="str">
        <x:v>PED 2 / SECOND CROSSING
pedEntrance2Source
222 /100min = MOCK
currently linked wrong schedule</x:v>
      </x:c>
      <x:c r="D29" s="73" t="str">
        <x:v>X2  /  SECOND ZEBRA
pedWait1 / TargetLines
Signal release TODO</x:v>
      </x:c>
      <x:c r="E29" s="73" t="str">
        <x:v>X2  /  SECOND ZEBRA
pedWait1 / TargetLines
Signal release TODO</x:v>
      </x:c>
      <x:c r="F29" s="73" t="str">
        <x:v>X2  /  SECOND ZEBRA
pedWait1 / TargetLines
Signal release TODO</x:v>
      </x:c>
    </x:row>
    <x:row r="30" ht="25" customHeight="1">
      <x:c r="A30" s="78" t="str">
        <x:v>PED 2 / SECOND CROSSING
pedEntrance2Source
222 /100min = MOCK
currently linked wrong schedule</x:v>
      </x:c>
      <x:c r="B30" s="78" t="str">
        <x:v>PED 2 / SECOND CROSSING
pedEntrance2Source
222 /100min = MOCK
currently linked wrong schedule</x:v>
      </x:c>
      <x:c r="C30" s="78" t="str">
        <x:v>PED 2 / SECOND CROSSING
pedEntrance2Source
222 /100min = MOCK
currently linked wrong schedule</x:v>
      </x:c>
      <x:c r="D30" s="73" t="str">
        <x:v>X2  /  SECOND ZEBRA
pedWait1 / TargetLines
Signal release TODO</x:v>
      </x:c>
      <x:c r="E30" s="73" t="str">
        <x:v>X2  /  SECOND ZEBRA
pedWait1 / TargetLines
Signal release TODO</x:v>
      </x:c>
      <x:c r="F30" s="73" t="str">
        <x:v>X2  /  SECOND ZEBRA
pedWait1 / TargetLines
Signal release TODO</x:v>
      </x:c>
    </x:row>
    <x:row r="31" ht="25" customHeight="1">
      <x:c r="A31" s="78" t="str">
        <x:v>PED 2 / SECOND CROSSING
pedEntrance2Source
222 /100min = MOCK
currently linked wrong schedule</x:v>
      </x:c>
      <x:c r="B31" s="78" t="str">
        <x:v>PED 2 / SECOND CROSSING
pedEntrance2Source
222 /100min = MOCK
currently linked wrong schedule</x:v>
      </x:c>
      <x:c r="C31" s="78" t="str">
        <x:v>PED 2 / SECOND CROSSING
pedEntrance2Source
222 /100min = MOCK
currently linked wrong schedule</x:v>
      </x:c>
      <x:c r="D31" s="73" t="str">
        <x:v>X2  /  SECOND ZEBRA
pedWait1 / TargetLines
Signal release TODO</x:v>
      </x:c>
      <x:c r="E31" s="73" t="str">
        <x:v>X2  /  SECOND ZEBRA
pedWait1 / TargetLines
Signal release TODO</x:v>
      </x:c>
      <x:c r="F31" s="73" t="str">
        <x:v>X2  /  SECOND ZEBRA
pedWait1 / TargetLines
Signal release TODO</x:v>
      </x:c>
    </x:row>
    <x:row r="32" ht="25" customHeight="1">
      <x:c r="A32" s="78" t="str">
        <x:v>PED 2 / SECOND CROSSING
pedEntrance2Source
222 /100min = MOCK
currently linked wrong schedule</x:v>
      </x:c>
      <x:c r="B32" s="78" t="str">
        <x:v>PED 2 / SECOND CROSSING
pedEntrance2Source
222 /100min = MOCK
currently linked wrong schedule</x:v>
      </x:c>
      <x:c r="C32" s="78" t="str">
        <x:v>PED 2 / SECOND CROSSING
pedEntrance2Source
222 /100min = MOCK
currently linked wrong schedule</x:v>
      </x:c>
    </x:row>
    <x:row r="33" ht="25" customHeight="1">
      <x:c r="D33" s="63" t="str">
        <x:v>SOUTH EXIT
SecondEntranceRoad
end-of-road dispose</x:v>
      </x:c>
      <x:c r="E33" s="63" t="str">
        <x:v>SOUTH EXIT
SecondEntranceRoad
end-of-road dispose</x:v>
      </x:c>
      <x:c r="F33" s="63" t="str">
        <x:v>SOUTH EXIT
SecondEntranceRoad
end-of-road dispose</x:v>
      </x:c>
    </x:row>
    <x:row r="34" ht="25" customHeight="1">
      <x:c r="D34" s="63" t="str">
        <x:v>SOUTH EXIT
SecondEntranceRoad
end-of-road dispose</x:v>
      </x:c>
      <x:c r="E34" s="63" t="str">
        <x:v>SOUTH EXIT
SecondEntranceRoad
end-of-road dispose</x:v>
      </x:c>
      <x:c r="F34" s="63" t="str">
        <x:v>SOUTH EXIT
SecondEntranceRoad
end-of-road dispose</x:v>
      </x:c>
    </x:row>
    <x:row r="35" ht="25" customHeight="1">
      <x:c r="D35" s="63" t="str">
        <x:v>SOUTH EXIT
SecondEntranceRoad
end-of-road dispose</x:v>
      </x:c>
      <x:c r="E35" s="63" t="str">
        <x:v>SOUTH EXIT
SecondEntranceRoad
end-of-road dispose</x:v>
      </x:c>
      <x:c r="F35" s="63" t="str">
        <x:v>SOUTH EXIT
SecondEntranceRoad
end-of-road dispose</x:v>
      </x:c>
    </x:row>
    <x:row r="36" ht="25" customHeight="1"/>
    <x:row r="37" ht="25" customHeight="1">
      <x:c r="A37" s="108" t="str">
        <x:v>IDs are project naming standard, NOT existing AnyLogic object names. Use the DATA_BINDINGS sheet to identify the exact model object and editable workbook cells.</x:v>
      </x:c>
      <x:c r="B37" s="108" t="str">
        <x:v>IDs are project naming standard, NOT existing AnyLogic object names. Use the DATA_BINDINGS sheet to identify the exact model object and editable workbook cells.</x:v>
      </x:c>
      <x:c r="C37" s="108" t="str">
        <x:v>IDs are project naming standard, NOT existing AnyLogic object names. Use the DATA_BINDINGS sheet to identify the exact model object and editable workbook cells.</x:v>
      </x:c>
      <x:c r="D37" s="108" t="str">
        <x:v>IDs are project naming standard, NOT existing AnyLogic object names. Use the DATA_BINDINGS sheet to identify the exact model object and editable workbook cells.</x:v>
      </x:c>
      <x:c r="E37" s="108" t="str">
        <x:v>IDs are project naming standard, NOT existing AnyLogic object names. Use the DATA_BINDINGS sheet to identify the exact model object and editable workbook cells.</x:v>
      </x:c>
      <x:c r="F37" s="108" t="str">
        <x:v>IDs are project naming standard, NOT existing AnyLogic object names. Use the DATA_BINDINGS sheet to identify the exact model object and editable workbook cells.</x:v>
      </x:c>
      <x:c r="G37" s="108" t="str">
        <x:v>IDs are project naming standard, NOT existing AnyLogic object names. Use the DATA_BINDINGS sheet to identify the exact model object and editable workbook cells.</x:v>
      </x:c>
      <x:c r="H37" s="108" t="str">
        <x:v>IDs are project naming standard, NOT existing AnyLogic object names. Use the DATA_BINDINGS sheet to identify the exact model object and editable workbook cells.</x:v>
      </x:c>
      <x:c r="I37" s="108" t="str">
        <x:v>IDs are project naming standard, NOT existing AnyLogic object names. Use the DATA_BINDINGS sheet to identify the exact model object and editable workbook cells.</x:v>
      </x:c>
      <x:c r="J37" s="108" t="str">
        <x:v>IDs are project naming standard, NOT existing AnyLogic object names. Use the DATA_BINDINGS sheet to identify the exact model object and editable workbook cells.</x:v>
      </x:c>
      <x:c r="K37" s="108" t="str">
        <x:v>IDs are project naming standard, NOT existing AnyLogic object names. Use the DATA_BINDINGS sheet to identify the exact model object and editable workbook cells.</x:v>
      </x:c>
      <x:c r="L37" s="108" t="str">
        <x:v>IDs are project naming standard, NOT existing AnyLogic object names. Use the DATA_BINDINGS sheet to identify the exact model object and editable workbook cells.</x:v>
      </x:c>
      <x:c r="M37" s="108" t="str">
        <x:v>IDs are project naming standard, NOT existing AnyLogic object names. Use the DATA_BINDINGS sheet to identify the exact model object and editable workbook cells.</x:v>
      </x:c>
      <x:c r="N37" s="108" t="str">
        <x:v>IDs are project naming standard, NOT existing AnyLogic object names. Use the DATA_BINDINGS sheet to identify the exact model object and editable workbook cells.</x:v>
      </x:c>
      <x:c r="O37" s="108" t="str">
        <x:v>IDs are project naming standard, NOT existing AnyLogic object names. Use the DATA_BINDINGS sheet to identify the exact model object and editable workbook cells.</x:v>
      </x:c>
      <x:c r="P37" s="108" t="str">
        <x:v>IDs are project naming standard, NOT existing AnyLogic object names. Use the DATA_BINDINGS sheet to identify the exact model object and editable workbook cells.</x:v>
      </x:c>
      <x:c r="Q37" s="108" t="str">
        <x:v>IDs are project naming standard, NOT existing AnyLogic object names. Use the DATA_BINDINGS sheet to identify the exact model object and editable workbook cells.</x:v>
      </x:c>
      <x:c r="R37" s="108" t="str">
        <x:v>IDs are project naming standard, NOT existing AnyLogic object names. Use the DATA_BINDINGS sheet to identify the exact model object and editable workbook cells.</x:v>
      </x:c>
      <x:c r="S37" s="108" t="str">
        <x:v>IDs are project naming standard, NOT existing AnyLogic object names. Use the DATA_BINDINGS sheet to identify the exact model object and editable workbook cells.</x:v>
      </x:c>
      <x:c r="T37" s="108" t="str">
        <x:v>IDs are project naming standard, NOT existing AnyLogic object names. Use the DATA_BINDINGS sheet to identify the exact model object and editable workbook cells.</x:v>
      </x:c>
      <x:c r="U37" s="108" t="str">
        <x:v>IDs are project naming standard, NOT existing AnyLogic object names. Use the DATA_BINDINGS sheet to identify the exact model object and editable workbook cells.</x:v>
      </x:c>
      <x:c r="V37" s="108" t="str">
        <x:v>IDs are project naming standard, NOT existing AnyLogic object names. Use the DATA_BINDINGS sheet to identify the exact model object and editable workbook cells.</x:v>
      </x:c>
      <x:c r="W37" s="108" t="str">
        <x:v>IDs are project naming standard, NOT existing AnyLogic object names. Use the DATA_BINDINGS sheet to identify the exact model object and editable workbook cells.</x:v>
      </x:c>
      <x:c r="X37" s="108" t="str">
        <x:v>IDs are project naming standard, NOT existing AnyLogic object names. Use the DATA_BINDINGS sheet to identify the exact model object and editable workbook cells.</x:v>
      </x:c>
      <x:c r="Y37" s="108" t="str">
        <x:v>IDs are project naming standard, NOT existing AnyLogic object names. Use the DATA_BINDINGS sheet to identify the exact model object and editable workbook cells.</x:v>
      </x:c>
    </x:row>
    <x:row r="38" ht="25" customHeight="1">
      <x:c r="A38" s="108" t="str">
        <x:v>IDs are project naming standard, NOT existing AnyLogic object names. Use the DATA_BINDINGS sheet to identify the exact model object and editable workbook cells.</x:v>
      </x:c>
      <x:c r="B38" s="108" t="str">
        <x:v>IDs are project naming standard, NOT existing AnyLogic object names. Use the DATA_BINDINGS sheet to identify the exact model object and editable workbook cells.</x:v>
      </x:c>
      <x:c r="C38" s="108" t="str">
        <x:v>IDs are project naming standard, NOT existing AnyLogic object names. Use the DATA_BINDINGS sheet to identify the exact model object and editable workbook cells.</x:v>
      </x:c>
      <x:c r="D38" s="108" t="str">
        <x:v>IDs are project naming standard, NOT existing AnyLogic object names. Use the DATA_BINDINGS sheet to identify the exact model object and editable workbook cells.</x:v>
      </x:c>
      <x:c r="E38" s="108" t="str">
        <x:v>IDs are project naming standard, NOT existing AnyLogic object names. Use the DATA_BINDINGS sheet to identify the exact model object and editable workbook cells.</x:v>
      </x:c>
      <x:c r="F38" s="108" t="str">
        <x:v>IDs are project naming standard, NOT existing AnyLogic object names. Use the DATA_BINDINGS sheet to identify the exact model object and editable workbook cells.</x:v>
      </x:c>
      <x:c r="G38" s="108" t="str">
        <x:v>IDs are project naming standard, NOT existing AnyLogic object names. Use the DATA_BINDINGS sheet to identify the exact model object and editable workbook cells.</x:v>
      </x:c>
      <x:c r="H38" s="108" t="str">
        <x:v>IDs are project naming standard, NOT existing AnyLogic object names. Use the DATA_BINDINGS sheet to identify the exact model object and editable workbook cells.</x:v>
      </x:c>
      <x:c r="I38" s="108" t="str">
        <x:v>IDs are project naming standard, NOT existing AnyLogic object names. Use the DATA_BINDINGS sheet to identify the exact model object and editable workbook cells.</x:v>
      </x:c>
      <x:c r="J38" s="108" t="str">
        <x:v>IDs are project naming standard, NOT existing AnyLogic object names. Use the DATA_BINDINGS sheet to identify the exact model object and editable workbook cells.</x:v>
      </x:c>
      <x:c r="K38" s="108" t="str">
        <x:v>IDs are project naming standard, NOT existing AnyLogic object names. Use the DATA_BINDINGS sheet to identify the exact model object and editable workbook cells.</x:v>
      </x:c>
      <x:c r="L38" s="108" t="str">
        <x:v>IDs are project naming standard, NOT existing AnyLogic object names. Use the DATA_BINDINGS sheet to identify the exact model object and editable workbook cells.</x:v>
      </x:c>
      <x:c r="M38" s="108" t="str">
        <x:v>IDs are project naming standard, NOT existing AnyLogic object names. Use the DATA_BINDINGS sheet to identify the exact model object and editable workbook cells.</x:v>
      </x:c>
      <x:c r="N38" s="108" t="str">
        <x:v>IDs are project naming standard, NOT existing AnyLogic object names. Use the DATA_BINDINGS sheet to identify the exact model object and editable workbook cells.</x:v>
      </x:c>
      <x:c r="O38" s="108" t="str">
        <x:v>IDs are project naming standard, NOT existing AnyLogic object names. Use the DATA_BINDINGS sheet to identify the exact model object and editable workbook cells.</x:v>
      </x:c>
      <x:c r="P38" s="108" t="str">
        <x:v>IDs are project naming standard, NOT existing AnyLogic object names. Use the DATA_BINDINGS sheet to identify the exact model object and editable workbook cells.</x:v>
      </x:c>
      <x:c r="Q38" s="108" t="str">
        <x:v>IDs are project naming standard, NOT existing AnyLogic object names. Use the DATA_BINDINGS sheet to identify the exact model object and editable workbook cells.</x:v>
      </x:c>
      <x:c r="R38" s="108" t="str">
        <x:v>IDs are project naming standard, NOT existing AnyLogic object names. Use the DATA_BINDINGS sheet to identify the exact model object and editable workbook cells.</x:v>
      </x:c>
      <x:c r="S38" s="108" t="str">
        <x:v>IDs are project naming standard, NOT existing AnyLogic object names. Use the DATA_BINDINGS sheet to identify the exact model object and editable workbook cells.</x:v>
      </x:c>
      <x:c r="T38" s="108" t="str">
        <x:v>IDs are project naming standard, NOT existing AnyLogic object names. Use the DATA_BINDINGS sheet to identify the exact model object and editable workbook cells.</x:v>
      </x:c>
      <x:c r="U38" s="108" t="str">
        <x:v>IDs are project naming standard, NOT existing AnyLogic object names. Use the DATA_BINDINGS sheet to identify the exact model object and editable workbook cells.</x:v>
      </x:c>
      <x:c r="V38" s="108" t="str">
        <x:v>IDs are project naming standard, NOT existing AnyLogic object names. Use the DATA_BINDINGS sheet to identify the exact model object and editable workbook cells.</x:v>
      </x:c>
      <x:c r="W38" s="108" t="str">
        <x:v>IDs are project naming standard, NOT existing AnyLogic object names. Use the DATA_BINDINGS sheet to identify the exact model object and editable workbook cells.</x:v>
      </x:c>
      <x:c r="X38" s="108" t="str">
        <x:v>IDs are project naming standard, NOT existing AnyLogic object names. Use the DATA_BINDINGS sheet to identify the exact model object and editable workbook cells.</x:v>
      </x:c>
      <x:c r="Y38" s="108" t="str">
        <x:v>IDs are project naming standard, NOT existing AnyLogic object names. Use the DATA_BINDINGS sheet to identify the exact model object and editable workbook cells.</x:v>
      </x:c>
    </x:row>
    <x:row r="39" ht="25" customHeight="1"/>
    <x:row r="40" ht="25" customHeight="1">
      <x:c r="A40" s="78" t="str">
        <x:v>OPEN / VERIFY: North–Mid vs North–East physical parking mapping; parking IN route; second crossing signal; side-road lane matching; saved model may differ from edits after upload.</x:v>
      </x:c>
      <x:c r="B40" s="78" t="str">
        <x:v>OPEN / VERIFY: North–Mid vs North–East physical parking mapping; parking IN route; second crossing signal; side-road lane matching; saved model may differ from edits after upload.</x:v>
      </x:c>
      <x:c r="C40" s="78" t="str">
        <x:v>OPEN / VERIFY: North–Mid vs North–East physical parking mapping; parking IN route; second crossing signal; side-road lane matching; saved model may differ from edits after upload.</x:v>
      </x:c>
      <x:c r="D40" s="78" t="str">
        <x:v>OPEN / VERIFY: North–Mid vs North–East physical parking mapping; parking IN route; second crossing signal; side-road lane matching; saved model may differ from edits after upload.</x:v>
      </x:c>
      <x:c r="E40" s="78" t="str">
        <x:v>OPEN / VERIFY: North–Mid vs North–East physical parking mapping; parking IN route; second crossing signal; side-road lane matching; saved model may differ from edits after upload.</x:v>
      </x:c>
      <x:c r="F40" s="78" t="str">
        <x:v>OPEN / VERIFY: North–Mid vs North–East physical parking mapping; parking IN route; second crossing signal; side-road lane matching; saved model may differ from edits after upload.</x:v>
      </x:c>
      <x:c r="G40" s="78" t="str">
        <x:v>OPEN / VERIFY: North–Mid vs North–East physical parking mapping; parking IN route; second crossing signal; side-road lane matching; saved model may differ from edits after upload.</x:v>
      </x:c>
      <x:c r="H40" s="78" t="str">
        <x:v>OPEN / VERIFY: North–Mid vs North–East physical parking mapping; parking IN route; second crossing signal; side-road lane matching; saved model may differ from edits after upload.</x:v>
      </x:c>
      <x:c r="I40" s="78" t="str">
        <x:v>OPEN / VERIFY: North–Mid vs North–East physical parking mapping; parking IN route; second crossing signal; side-road lane matching; saved model may differ from edits after upload.</x:v>
      </x:c>
      <x:c r="J40" s="78" t="str">
        <x:v>OPEN / VERIFY: North–Mid vs North–East physical parking mapping; parking IN route; second crossing signal; side-road lane matching; saved model may differ from edits after upload.</x:v>
      </x:c>
      <x:c r="K40" s="78" t="str">
        <x:v>OPEN / VERIFY: North–Mid vs North–East physical parking mapping; parking IN route; second crossing signal; side-road lane matching; saved model may differ from edits after upload.</x:v>
      </x:c>
      <x:c r="L40" s="78" t="str">
        <x:v>OPEN / VERIFY: North–Mid vs North–East physical parking mapping; parking IN route; second crossing signal; side-road lane matching; saved model may differ from edits after upload.</x:v>
      </x:c>
      <x:c r="M40" s="78" t="str">
        <x:v>OPEN / VERIFY: North–Mid vs North–East physical parking mapping; parking IN route; second crossing signal; side-road lane matching; saved model may differ from edits after upload.</x:v>
      </x:c>
      <x:c r="N40" s="78" t="str">
        <x:v>OPEN / VERIFY: North–Mid vs North–East physical parking mapping; parking IN route; second crossing signal; side-road lane matching; saved model may differ from edits after upload.</x:v>
      </x:c>
      <x:c r="O40" s="78" t="str">
        <x:v>OPEN / VERIFY: North–Mid vs North–East physical parking mapping; parking IN route; second crossing signal; side-road lane matching; saved model may differ from edits after upload.</x:v>
      </x:c>
      <x:c r="P40" s="78" t="str">
        <x:v>OPEN / VERIFY: North–Mid vs North–East physical parking mapping; parking IN route; second crossing signal; side-road lane matching; saved model may differ from edits after upload.</x:v>
      </x:c>
      <x:c r="Q40" s="78" t="str">
        <x:v>OPEN / VERIFY: North–Mid vs North–East physical parking mapping; parking IN route; second crossing signal; side-road lane matching; saved model may differ from edits after upload.</x:v>
      </x:c>
      <x:c r="R40" s="78" t="str">
        <x:v>OPEN / VERIFY: North–Mid vs North–East physical parking mapping; parking IN route; second crossing signal; side-road lane matching; saved model may differ from edits after upload.</x:v>
      </x:c>
      <x:c r="S40" s="78" t="str">
        <x:v>OPEN / VERIFY: North–Mid vs North–East physical parking mapping; parking IN route; second crossing signal; side-road lane matching; saved model may differ from edits after upload.</x:v>
      </x:c>
      <x:c r="T40" s="78" t="str">
        <x:v>OPEN / VERIFY: North–Mid vs North–East physical parking mapping; parking IN route; second crossing signal; side-road lane matching; saved model may differ from edits after upload.</x:v>
      </x:c>
      <x:c r="U40" s="78" t="str">
        <x:v>OPEN / VERIFY: North–Mid vs North–East physical parking mapping; parking IN route; second crossing signal; side-road lane matching; saved model may differ from edits after upload.</x:v>
      </x:c>
      <x:c r="V40" s="78" t="str">
        <x:v>OPEN / VERIFY: North–Mid vs North–East physical parking mapping; parking IN route; second crossing signal; side-road lane matching; saved model may differ from edits after upload.</x:v>
      </x:c>
      <x:c r="W40" s="78" t="str">
        <x:v>OPEN / VERIFY: North–Mid vs North–East physical parking mapping; parking IN route; second crossing signal; side-road lane matching; saved model may differ from edits after upload.</x:v>
      </x:c>
      <x:c r="X40" s="78" t="str">
        <x:v>OPEN / VERIFY: North–Mid vs North–East physical parking mapping; parking IN route; second crossing signal; side-road lane matching; saved model may differ from edits after upload.</x:v>
      </x:c>
      <x:c r="Y40" s="78" t="str">
        <x:v>OPEN / VERIFY: North–Mid vs North–East physical parking mapping; parking IN route; second crossing signal; side-road lane matching; saved model may differ from edits after upload.</x:v>
      </x:c>
    </x:row>
    <x:row r="41" ht="25" customHeight="1">
      <x:c r="A41" s="78" t="str">
        <x:v>OPEN / VERIFY: North–Mid vs North–East physical parking mapping; parking IN route; second crossing signal; side-road lane matching; saved model may differ from edits after upload.</x:v>
      </x:c>
      <x:c r="B41" s="78" t="str">
        <x:v>OPEN / VERIFY: North–Mid vs North–East physical parking mapping; parking IN route; second crossing signal; side-road lane matching; saved model may differ from edits after upload.</x:v>
      </x:c>
      <x:c r="C41" s="78" t="str">
        <x:v>OPEN / VERIFY: North–Mid vs North–East physical parking mapping; parking IN route; second crossing signal; side-road lane matching; saved model may differ from edits after upload.</x:v>
      </x:c>
      <x:c r="D41" s="78" t="str">
        <x:v>OPEN / VERIFY: North–Mid vs North–East physical parking mapping; parking IN route; second crossing signal; side-road lane matching; saved model may differ from edits after upload.</x:v>
      </x:c>
      <x:c r="E41" s="78" t="str">
        <x:v>OPEN / VERIFY: North–Mid vs North–East physical parking mapping; parking IN route; second crossing signal; side-road lane matching; saved model may differ from edits after upload.</x:v>
      </x:c>
      <x:c r="F41" s="78" t="str">
        <x:v>OPEN / VERIFY: North–Mid vs North–East physical parking mapping; parking IN route; second crossing signal; side-road lane matching; saved model may differ from edits after upload.</x:v>
      </x:c>
      <x:c r="G41" s="78" t="str">
        <x:v>OPEN / VERIFY: North–Mid vs North–East physical parking mapping; parking IN route; second crossing signal; side-road lane matching; saved model may differ from edits after upload.</x:v>
      </x:c>
      <x:c r="H41" s="78" t="str">
        <x:v>OPEN / VERIFY: North–Mid vs North–East physical parking mapping; parking IN route; second crossing signal; side-road lane matching; saved model may differ from edits after upload.</x:v>
      </x:c>
      <x:c r="I41" s="78" t="str">
        <x:v>OPEN / VERIFY: North–Mid vs North–East physical parking mapping; parking IN route; second crossing signal; side-road lane matching; saved model may differ from edits after upload.</x:v>
      </x:c>
      <x:c r="J41" s="78" t="str">
        <x:v>OPEN / VERIFY: North–Mid vs North–East physical parking mapping; parking IN route; second crossing signal; side-road lane matching; saved model may differ from edits after upload.</x:v>
      </x:c>
      <x:c r="K41" s="78" t="str">
        <x:v>OPEN / VERIFY: North–Mid vs North–East physical parking mapping; parking IN route; second crossing signal; side-road lane matching; saved model may differ from edits after upload.</x:v>
      </x:c>
      <x:c r="L41" s="78" t="str">
        <x:v>OPEN / VERIFY: North–Mid vs North–East physical parking mapping; parking IN route; second crossing signal; side-road lane matching; saved model may differ from edits after upload.</x:v>
      </x:c>
      <x:c r="M41" s="78" t="str">
        <x:v>OPEN / VERIFY: North–Mid vs North–East physical parking mapping; parking IN route; second crossing signal; side-road lane matching; saved model may differ from edits after upload.</x:v>
      </x:c>
      <x:c r="N41" s="78" t="str">
        <x:v>OPEN / VERIFY: North–Mid vs North–East physical parking mapping; parking IN route; second crossing signal; side-road lane matching; saved model may differ from edits after upload.</x:v>
      </x:c>
      <x:c r="O41" s="78" t="str">
        <x:v>OPEN / VERIFY: North–Mid vs North–East physical parking mapping; parking IN route; second crossing signal; side-road lane matching; saved model may differ from edits after upload.</x:v>
      </x:c>
      <x:c r="P41" s="78" t="str">
        <x:v>OPEN / VERIFY: North–Mid vs North–East physical parking mapping; parking IN route; second crossing signal; side-road lane matching; saved model may differ from edits after upload.</x:v>
      </x:c>
      <x:c r="Q41" s="78" t="str">
        <x:v>OPEN / VERIFY: North–Mid vs North–East physical parking mapping; parking IN route; second crossing signal; side-road lane matching; saved model may differ from edits after upload.</x:v>
      </x:c>
      <x:c r="R41" s="78" t="str">
        <x:v>OPEN / VERIFY: North–Mid vs North–East physical parking mapping; parking IN route; second crossing signal; side-road lane matching; saved model may differ from edits after upload.</x:v>
      </x:c>
      <x:c r="S41" s="78" t="str">
        <x:v>OPEN / VERIFY: North–Mid vs North–East physical parking mapping; parking IN route; second crossing signal; side-road lane matching; saved model may differ from edits after upload.</x:v>
      </x:c>
      <x:c r="T41" s="78" t="str">
        <x:v>OPEN / VERIFY: North–Mid vs North–East physical parking mapping; parking IN route; second crossing signal; side-road lane matching; saved model may differ from edits after upload.</x:v>
      </x:c>
      <x:c r="U41" s="78" t="str">
        <x:v>OPEN / VERIFY: North–Mid vs North–East physical parking mapping; parking IN route; second crossing signal; side-road lane matching; saved model may differ from edits after upload.</x:v>
      </x:c>
      <x:c r="V41" s="78" t="str">
        <x:v>OPEN / VERIFY: North–Mid vs North–East physical parking mapping; parking IN route; second crossing signal; side-road lane matching; saved model may differ from edits after upload.</x:v>
      </x:c>
      <x:c r="W41" s="78" t="str">
        <x:v>OPEN / VERIFY: North–Mid vs North–East physical parking mapping; parking IN route; second crossing signal; side-road lane matching; saved model may differ from edits after upload.</x:v>
      </x:c>
      <x:c r="X41" s="78" t="str">
        <x:v>OPEN / VERIFY: North–Mid vs North–East physical parking mapping; parking IN route; second crossing signal; side-road lane matching; saved model may differ from edits after upload.</x:v>
      </x:c>
      <x:c r="Y41" s="78" t="str">
        <x:v>OPEN / VERIFY: North–Mid vs North–East physical parking mapping; parking IN route; second crossing signal; side-road lane matching; saved model may differ from edits after upload.</x:v>
      </x:c>
    </x:row>
    <x:row r="42" ht="25" customHeight="1"/>
    <x:row r="43" ht="25" customHeight="1">
      <x:c r="A43" s="113" t="str">
        <x:v>SOURCE: user sketch gemini-code-1792308400302(1).txt + uploaded Satit Chula Crossing final proj(1).alp + Simulation Input Register, snapshot 2026-10-18.</x:v>
      </x:c>
      <x:c r="B43" s="113" t="str">
        <x:v>SOURCE: user sketch gemini-code-1792308400302(1).txt + uploaded Satit Chula Crossing final proj(1).alp + Simulation Input Register, snapshot 2026-10-18.</x:v>
      </x:c>
      <x:c r="C43" s="113" t="str">
        <x:v>SOURCE: user sketch gemini-code-1792308400302(1).txt + uploaded Satit Chula Crossing final proj(1).alp + Simulation Input Register, snapshot 2026-10-18.</x:v>
      </x:c>
      <x:c r="D43" s="113" t="str">
        <x:v>SOURCE: user sketch gemini-code-1792308400302(1).txt + uploaded Satit Chula Crossing final proj(1).alp + Simulation Input Register, snapshot 2026-10-18.</x:v>
      </x:c>
      <x:c r="E43" s="113" t="str">
        <x:v>SOURCE: user sketch gemini-code-1792308400302(1).txt + uploaded Satit Chula Crossing final proj(1).alp + Simulation Input Register, snapshot 2026-10-18.</x:v>
      </x:c>
      <x:c r="F43" s="113" t="str">
        <x:v>SOURCE: user sketch gemini-code-1792308400302(1).txt + uploaded Satit Chula Crossing final proj(1).alp + Simulation Input Register, snapshot 2026-10-18.</x:v>
      </x:c>
      <x:c r="G43" s="113" t="str">
        <x:v>SOURCE: user sketch gemini-code-1792308400302(1).txt + uploaded Satit Chula Crossing final proj(1).alp + Simulation Input Register, snapshot 2026-10-18.</x:v>
      </x:c>
      <x:c r="H43" s="113" t="str">
        <x:v>SOURCE: user sketch gemini-code-1792308400302(1).txt + uploaded Satit Chula Crossing final proj(1).alp + Simulation Input Register, snapshot 2026-10-18.</x:v>
      </x:c>
      <x:c r="I43" s="113" t="str">
        <x:v>SOURCE: user sketch gemini-code-1792308400302(1).txt + uploaded Satit Chula Crossing final proj(1).alp + Simulation Input Register, snapshot 2026-10-18.</x:v>
      </x:c>
      <x:c r="J43" s="113" t="str">
        <x:v>SOURCE: user sketch gemini-code-1792308400302(1).txt + uploaded Satit Chula Crossing final proj(1).alp + Simulation Input Register, snapshot 2026-10-18.</x:v>
      </x:c>
      <x:c r="K43" s="113" t="str">
        <x:v>SOURCE: user sketch gemini-code-1792308400302(1).txt + uploaded Satit Chula Crossing final proj(1).alp + Simulation Input Register, snapshot 2026-10-18.</x:v>
      </x:c>
      <x:c r="L43" s="113" t="str">
        <x:v>SOURCE: user sketch gemini-code-1792308400302(1).txt + uploaded Satit Chula Crossing final proj(1).alp + Simulation Input Register, snapshot 2026-10-18.</x:v>
      </x:c>
      <x:c r="M43" s="113" t="str">
        <x:v>SOURCE: user sketch gemini-code-1792308400302(1).txt + uploaded Satit Chula Crossing final proj(1).alp + Simulation Input Register, snapshot 2026-10-18.</x:v>
      </x:c>
      <x:c r="N43" s="113" t="str">
        <x:v>SOURCE: user sketch gemini-code-1792308400302(1).txt + uploaded Satit Chula Crossing final proj(1).alp + Simulation Input Register, snapshot 2026-10-18.</x:v>
      </x:c>
      <x:c r="O43" s="113" t="str">
        <x:v>SOURCE: user sketch gemini-code-1792308400302(1).txt + uploaded Satit Chula Crossing final proj(1).alp + Simulation Input Register, snapshot 2026-10-18.</x:v>
      </x:c>
      <x:c r="P43" s="113" t="str">
        <x:v>SOURCE: user sketch gemini-code-1792308400302(1).txt + uploaded Satit Chula Crossing final proj(1).alp + Simulation Input Register, snapshot 2026-10-18.</x:v>
      </x:c>
      <x:c r="Q43" s="113" t="str">
        <x:v>SOURCE: user sketch gemini-code-1792308400302(1).txt + uploaded Satit Chula Crossing final proj(1).alp + Simulation Input Register, snapshot 2026-10-18.</x:v>
      </x:c>
      <x:c r="R43" s="113" t="str">
        <x:v>SOURCE: user sketch gemini-code-1792308400302(1).txt + uploaded Satit Chula Crossing final proj(1).alp + Simulation Input Register, snapshot 2026-10-18.</x:v>
      </x:c>
      <x:c r="S43" s="113" t="str">
        <x:v>SOURCE: user sketch gemini-code-1792308400302(1).txt + uploaded Satit Chula Crossing final proj(1).alp + Simulation Input Register, snapshot 2026-10-18.</x:v>
      </x:c>
      <x:c r="T43" s="113" t="str">
        <x:v>SOURCE: user sketch gemini-code-1792308400302(1).txt + uploaded Satit Chula Crossing final proj(1).alp + Simulation Input Register, snapshot 2026-10-18.</x:v>
      </x:c>
      <x:c r="U43" s="113" t="str">
        <x:v>SOURCE: user sketch gemini-code-1792308400302(1).txt + uploaded Satit Chula Crossing final proj(1).alp + Simulation Input Register, snapshot 2026-10-18.</x:v>
      </x:c>
      <x:c r="V43" s="113" t="str">
        <x:v>SOURCE: user sketch gemini-code-1792308400302(1).txt + uploaded Satit Chula Crossing final proj(1).alp + Simulation Input Register, snapshot 2026-10-18.</x:v>
      </x:c>
      <x:c r="W43" s="113" t="str">
        <x:v>SOURCE: user sketch gemini-code-1792308400302(1).txt + uploaded Satit Chula Crossing final proj(1).alp + Simulation Input Register, snapshot 2026-10-18.</x:v>
      </x:c>
      <x:c r="X43" s="113" t="str">
        <x:v>SOURCE: user sketch gemini-code-1792308400302(1).txt + uploaded Satit Chula Crossing final proj(1).alp + Simulation Input Register, snapshot 2026-10-18.</x:v>
      </x:c>
      <x:c r="Y43" s="113" t="str">
        <x:v>SOURCE: user sketch gemini-code-1792308400302(1).txt + uploaded Satit Chula Crossing final proj(1).alp + Simulation Input Register, snapshot 2026-10-18.</x:v>
      </x:c>
    </x:row>
    <x:row r="44" ht="25" customHeight="1">
      <x:c r="A44" s="113" t="str">
        <x:v>SOURCE: user sketch gemini-code-1792308400302(1).txt + uploaded Satit Chula Crossing final proj(1).alp + Simulation Input Register, snapshot 2026-10-18.</x:v>
      </x:c>
      <x:c r="B44" s="113" t="str">
        <x:v>SOURCE: user sketch gemini-code-1792308400302(1).txt + uploaded Satit Chula Crossing final proj(1).alp + Simulation Input Register, snapshot 2026-10-18.</x:v>
      </x:c>
      <x:c r="C44" s="113" t="str">
        <x:v>SOURCE: user sketch gemini-code-1792308400302(1).txt + uploaded Satit Chula Crossing final proj(1).alp + Simulation Input Register, snapshot 2026-10-18.</x:v>
      </x:c>
      <x:c r="D44" s="113" t="str">
        <x:v>SOURCE: user sketch gemini-code-1792308400302(1).txt + uploaded Satit Chula Crossing final proj(1).alp + Simulation Input Register, snapshot 2026-10-18.</x:v>
      </x:c>
      <x:c r="E44" s="113" t="str">
        <x:v>SOURCE: user sketch gemini-code-1792308400302(1).txt + uploaded Satit Chula Crossing final proj(1).alp + Simulation Input Register, snapshot 2026-10-18.</x:v>
      </x:c>
      <x:c r="F44" s="113" t="str">
        <x:v>SOURCE: user sketch gemini-code-1792308400302(1).txt + uploaded Satit Chula Crossing final proj(1).alp + Simulation Input Register, snapshot 2026-10-18.</x:v>
      </x:c>
      <x:c r="G44" s="113" t="str">
        <x:v>SOURCE: user sketch gemini-code-1792308400302(1).txt + uploaded Satit Chula Crossing final proj(1).alp + Simulation Input Register, snapshot 2026-10-18.</x:v>
      </x:c>
      <x:c r="H44" s="113" t="str">
        <x:v>SOURCE: user sketch gemini-code-1792308400302(1).txt + uploaded Satit Chula Crossing final proj(1).alp + Simulation Input Register, snapshot 2026-10-18.</x:v>
      </x:c>
      <x:c r="I44" s="113" t="str">
        <x:v>SOURCE: user sketch gemini-code-1792308400302(1).txt + uploaded Satit Chula Crossing final proj(1).alp + Simulation Input Register, snapshot 2026-10-18.</x:v>
      </x:c>
      <x:c r="J44" s="113" t="str">
        <x:v>SOURCE: user sketch gemini-code-1792308400302(1).txt + uploaded Satit Chula Crossing final proj(1).alp + Simulation Input Register, snapshot 2026-10-18.</x:v>
      </x:c>
      <x:c r="K44" s="113" t="str">
        <x:v>SOURCE: user sketch gemini-code-1792308400302(1).txt + uploaded Satit Chula Crossing final proj(1).alp + Simulation Input Register, snapshot 2026-10-18.</x:v>
      </x:c>
      <x:c r="L44" s="113" t="str">
        <x:v>SOURCE: user sketch gemini-code-1792308400302(1).txt + uploaded Satit Chula Crossing final proj(1).alp + Simulation Input Register, snapshot 2026-10-18.</x:v>
      </x:c>
      <x:c r="M44" s="113" t="str">
        <x:v>SOURCE: user sketch gemini-code-1792308400302(1).txt + uploaded Satit Chula Crossing final proj(1).alp + Simulation Input Register, snapshot 2026-10-18.</x:v>
      </x:c>
      <x:c r="N44" s="113" t="str">
        <x:v>SOURCE: user sketch gemini-code-1792308400302(1).txt + uploaded Satit Chula Crossing final proj(1).alp + Simulation Input Register, snapshot 2026-10-18.</x:v>
      </x:c>
      <x:c r="O44" s="113" t="str">
        <x:v>SOURCE: user sketch gemini-code-1792308400302(1).txt + uploaded Satit Chula Crossing final proj(1).alp + Simulation Input Register, snapshot 2026-10-18.</x:v>
      </x:c>
      <x:c r="P44" s="113" t="str">
        <x:v>SOURCE: user sketch gemini-code-1792308400302(1).txt + uploaded Satit Chula Crossing final proj(1).alp + Simulation Input Register, snapshot 2026-10-18.</x:v>
      </x:c>
      <x:c r="Q44" s="113" t="str">
        <x:v>SOURCE: user sketch gemini-code-1792308400302(1).txt + uploaded Satit Chula Crossing final proj(1).alp + Simulation Input Register, snapshot 2026-10-18.</x:v>
      </x:c>
      <x:c r="R44" s="113" t="str">
        <x:v>SOURCE: user sketch gemini-code-1792308400302(1).txt + uploaded Satit Chula Crossing final proj(1).alp + Simulation Input Register, snapshot 2026-10-18.</x:v>
      </x:c>
      <x:c r="S44" s="113" t="str">
        <x:v>SOURCE: user sketch gemini-code-1792308400302(1).txt + uploaded Satit Chula Crossing final proj(1).alp + Simulation Input Register, snapshot 2026-10-18.</x:v>
      </x:c>
      <x:c r="T44" s="113" t="str">
        <x:v>SOURCE: user sketch gemini-code-1792308400302(1).txt + uploaded Satit Chula Crossing final proj(1).alp + Simulation Input Register, snapshot 2026-10-18.</x:v>
      </x:c>
      <x:c r="U44" s="113" t="str">
        <x:v>SOURCE: user sketch gemini-code-1792308400302(1).txt + uploaded Satit Chula Crossing final proj(1).alp + Simulation Input Register, snapshot 2026-10-18.</x:v>
      </x:c>
      <x:c r="V44" s="113" t="str">
        <x:v>SOURCE: user sketch gemini-code-1792308400302(1).txt + uploaded Satit Chula Crossing final proj(1).alp + Simulation Input Register, snapshot 2026-10-18.</x:v>
      </x:c>
      <x:c r="W44" s="113" t="str">
        <x:v>SOURCE: user sketch gemini-code-1792308400302(1).txt + uploaded Satit Chula Crossing final proj(1).alp + Simulation Input Register, snapshot 2026-10-18.</x:v>
      </x:c>
      <x:c r="X44" s="113" t="str">
        <x:v>SOURCE: user sketch gemini-code-1792308400302(1).txt + uploaded Satit Chula Crossing final proj(1).alp + Simulation Input Register, snapshot 2026-10-18.</x:v>
      </x:c>
      <x:c r="Y44" s="113" t="str">
        <x:v>SOURCE: user sketch gemini-code-1792308400302(1).txt + uploaded Satit Chula Crossing final proj(1).alp + Simulation Input Register, snapshot 2026-10-18.</x:v>
      </x:c>
    </x:row>
    <x:row r="45" ht="25" customHeight="1"/>
  </x:sheetData>
  <x:mergeCells>
    <x:mergeCell ref="A1:Y2"/>
    <x:mergeCell ref="A3:Y3"/>
    <x:mergeCell ref="A5:E6"/>
    <x:mergeCell ref="F5:J6"/>
    <x:mergeCell ref="K5:O6"/>
    <x:mergeCell ref="P5:T6"/>
    <x:mergeCell ref="U5:Y6"/>
    <x:mergeCell ref="J8:N10"/>
    <x:mergeCell ref="R8:W10"/>
    <x:mergeCell ref="J11:N12"/>
    <x:mergeCell ref="R11:W12"/>
    <x:mergeCell ref="A15:C18"/>
    <x:mergeCell ref="D15:F18"/>
    <x:mergeCell ref="G15:I18"/>
    <x:mergeCell ref="J15:L18"/>
    <x:mergeCell ref="M15:Q18"/>
    <x:mergeCell ref="R15:U18"/>
    <x:mergeCell ref="V15:Y18"/>
    <x:mergeCell ref="A19:Y20"/>
    <x:mergeCell ref="G22:I24"/>
    <x:mergeCell ref="G21:I21"/>
    <x:mergeCell ref="D22:F23"/>
    <x:mergeCell ref="D24:F27"/>
    <x:mergeCell ref="J23:M26"/>
    <x:mergeCell ref="A29:C32"/>
    <x:mergeCell ref="D29:F31"/>
    <x:mergeCell ref="D33:F35"/>
    <x:mergeCell ref="A37:Y38"/>
    <x:mergeCell ref="A40:Y41"/>
    <x:mergeCell ref="A43:Y4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3" max="3" width="29" hidden="0" customWidth="1"/>
    <x:col min="4" max="4" width="54" hidden="0" customWidth="1"/>
    <x:col min="5" max="5" width="37" hidden="0" customWidth="1"/>
    <x:col min="6" max="6" width="44" hidden="0" customWidth="1"/>
    <x:col min="7" max="7" width="53" hidden="0" customWidth="1"/>
    <x:col min="8" max="8" width="23" hidden="0" customWidth="1"/>
    <x:col min="9" max="9" width="30" hidden="0" customWidth="1"/>
    <x:col min="10" max="10" width="89" hidden="0" customWidth="1"/>
  </x:cols>
  <x:sheetData>
    <x:row r="1" ht="24" customHeight="1">
      <x:c r="A1" s="115" t="str">
        <x:v>DATA BINDINGS   /   MAP ID → EXCEL → ANYLOGIC</x:v>
      </x:c>
      <x:c r="B1" s="115"/>
      <x:c r="C1" s="115"/>
      <x:c r="D1" s="115"/>
      <x:c r="E1" s="115"/>
      <x:c r="F1" s="115"/>
      <x:c r="G1" s="115"/>
      <x:c r="H1" s="115"/>
      <x:c r="I1" s="115"/>
      <x:c r="J1" s="115"/>
    </x:row>
    <x:row r="2" ht="24" customHeight="1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3" ht="35" customHeight="1">
      <x:c r="A3" s="118" t="str">
        <x:v>Use Map ID in team discussions. Workbook range is where to prepare values, not a live connection into AnyLogic. "TO CREATE" means no such object currently exists in the saved model.</x:v>
      </x:c>
      <x:c r="B3" s="118"/>
      <x:c r="C3" s="118"/>
      <x:c r="D3" s="118"/>
      <x:c r="E3" s="118"/>
      <x:c r="F3" s="118"/>
      <x:c r="G3" s="118"/>
      <x:c r="H3" s="118"/>
      <x:c r="I3" s="118"/>
      <x:c r="J3" s="118"/>
    </x:row>
    <x:row r="5" ht="30" customHeight="1">
      <x:c r="A5" s="119" t="str">
        <x:v>Map ID</x:v>
      </x:c>
      <x:c r="B5" s="119" t="str">
        <x:v>Physical point / function</x:v>
      </x:c>
      <x:c r="C5" s="119" t="str">
        <x:v>Canonical series key</x:v>
      </x:c>
      <x:c r="D5" s="119" t="str">
        <x:v>AnyLogic block / flow</x:v>
      </x:c>
      <x:c r="E5" s="119" t="str">
        <x:v>AnyLogic schedule</x:v>
      </x:c>
      <x:c r="F5" s="119" t="str">
        <x:v>Excel edit reference</x:v>
      </x:c>
      <x:c r="G5" s="119" t="str">
        <x:v>Property to set</x:v>
      </x:c>
      <x:c r="H5" s="119" t="str">
        <x:v>Unit</x:v>
      </x:c>
      <x:c r="I5" s="119" t="str">
        <x:v>Evidence &amp; readiness</x:v>
      </x:c>
      <x:c r="J5" s="119" t="str">
        <x:v>Notes / exceptions</x:v>
      </x:c>
    </x:row>
    <x:row r="6" ht="42" customHeight="1">
      <x:c r="A6" s="122" t="str">
        <x:v>SRC_MAIN_L</x:v>
      </x:c>
      <x:c r="B6" s="122" t="str">
        <x:v>INFLOW 1 · East main entry, left-named source</x:v>
      </x:c>
      <x:c r="C6" s="122" t="str">
        <x:v>MainRoadLeft</x:v>
      </x:c>
      <x:c r="D6" s="122" t="str">
        <x:v>CarLeftPhayathai</x:v>
      </x:c>
      <x:c r="E6" s="122" t="str">
        <x:v>carRateSchedule_Left</x:v>
      </x:c>
      <x:c r="F6" s="122" t="str">
        <x:v>SCHEDULE_EDIT!G5:G11</x:v>
      </x:c>
      <x:c r="G6" s="122" t="str">
        <x:v>CarSource → Rate schedule</x:v>
      </x:c>
      <x:c r="H6" s="122" t="str">
        <x:v>veh/min (normalised)</x:v>
      </x:c>
      <x:c r="I6" s="122" t="str">
        <x:v>MODEL; UNIT WARNING</x:v>
      </x:c>
      <x:c r="J6" s="122" t="str">
        <x:v>Model saved schedule is PER_MINUTE with hourly-style values; lane-side physical mapping verify.</x:v>
      </x:c>
    </x:row>
    <x:row r="7" ht="42" customHeight="1">
      <x:c r="A7" s="121" t="str">
        <x:v>SRC_MAIN_R</x:v>
      </x:c>
      <x:c r="B7" s="121" t="str">
        <x:v>INFLOW 2 · East main entry, right-named source</x:v>
      </x:c>
      <x:c r="C7" s="121" t="str">
        <x:v>MainRoadRight</x:v>
      </x:c>
      <x:c r="D7" s="121" t="str">
        <x:v>CarRightPhayathai</x:v>
      </x:c>
      <x:c r="E7" s="121" t="str">
        <x:v>carRateSchedule_Right</x:v>
      </x:c>
      <x:c r="F7" s="121" t="str">
        <x:v>SCHEDULE_EDIT!G12:G18</x:v>
      </x:c>
      <x:c r="G7" s="121" t="str">
        <x:v>CarSource → Rate schedule</x:v>
      </x:c>
      <x:c r="H7" s="121" t="str">
        <x:v>veh/min (normalised)</x:v>
      </x:c>
      <x:c r="I7" s="121" t="str">
        <x:v>MODEL; UNIT WARNING</x:v>
      </x:c>
      <x:c r="J7" s="121" t="str">
        <x:v>Raw values require /60 if they represent veh/hour; confirm raw field definitions.</x:v>
      </x:c>
    </x:row>
    <x:row r="8" ht="42" customHeight="1">
      <x:c r="A8" s="122" t="str">
        <x:v>P1_IN</x:v>
      </x:c>
      <x:c r="B8" s="122" t="str">
        <x:v>INFLOW 3 · North–Mid parking ENTRY (main, provisional physical assignment)</x:v>
      </x:c>
      <x:c r="C8" s="122" t="str">
        <x:v>ParkingMainIN</x:v>
      </x:c>
      <x:c r="D8" s="122" t="str">
        <x:v>(route not implemented)</x:v>
      </x:c>
      <x:c r="E8" s="122" t="str">
        <x:v>mainParkingInSchedule</x:v>
      </x:c>
      <x:c r="F8" s="122" t="str">
        <x:v>SCHEDULE_EDIT!G33:G39</x:v>
      </x:c>
      <x:c r="G8" s="122" t="str">
        <x:v>SelectOutput on existing main road → parking driveway</x:v>
      </x:c>
      <x:c r="H8" s="122" t="str">
        <x:v>veh/min</x:v>
      </x:c>
      <x:c r="I8" s="122" t="str">
        <x:v>FIELD; NOT WIRED</x:v>
      </x:c>
      <x:c r="J8" s="122" t="str">
        <x:v>Must divert existing car; do not create new CarSource. Check north-mid vs lot name mapping.</x:v>
      </x:c>
    </x:row>
    <x:row r="9" ht="42" customHeight="1">
      <x:c r="A9" s="121" t="str">
        <x:v>P1_OUT</x:v>
      </x:c>
      <x:c r="B9" s="121" t="str">
        <x:v>INFLOW 3 · North–Mid parking EXIT to main road</x:v>
      </x:c>
      <x:c r="C9" s="121" t="str">
        <x:v>ParkingMainOUT</x:v>
      </x:c>
      <x:c r="D9" s="121" t="str">
        <x:v>carSource</x:v>
      </x:c>
      <x:c r="E9" s="121" t="str">
        <x:v>mainParkingOutSchedule</x:v>
      </x:c>
      <x:c r="F9" s="121" t="str">
        <x:v>SCHEDULE_EDIT!G40:G46</x:v>
      </x:c>
      <x:c r="G9" s="121" t="str">
        <x:v>CarSource → CentralLibrarParkingLot</x:v>
      </x:c>
      <x:c r="H9" s="121" t="str">
        <x:v>veh/min</x:v>
      </x:c>
      <x:c r="I9" s="121" t="str">
        <x:v>FIELD; MODEL</x:v>
      </x:c>
      <x:c r="J9" s="121" t="str">
        <x:v>88 exits /100min; status from uploaded .alp.</x:v>
      </x:c>
    </x:row>
    <x:row r="10" ht="42" customHeight="1">
      <x:c r="A10" s="122" t="str">
        <x:v>P2_IN</x:v>
      </x:c>
      <x:c r="B10" s="122" t="str">
        <x:v>INFLOW 4 · North–East parking ENTRY (secondary, provisional physical assignment)</x:v>
      </x:c>
      <x:c r="C10" s="122" t="str">
        <x:v>ParkingSecondIN</x:v>
      </x:c>
      <x:c r="D10" s="122" t="str">
        <x:v>(route not implemented)</x:v>
      </x:c>
      <x:c r="E10" s="122" t="str">
        <x:v>secondaryParkingInSchedule</x:v>
      </x:c>
      <x:c r="F10" s="122" t="str">
        <x:v>SCHEDULE_EDIT!G47:G53</x:v>
      </x:c>
      <x:c r="G10" s="122" t="str">
        <x:v>SelectOutput on existing main road → parking driveway</x:v>
      </x:c>
      <x:c r="H10" s="122" t="str">
        <x:v>veh/min</x:v>
      </x:c>
      <x:c r="I10" s="122" t="str">
        <x:v>FIELD; MODEL WRONG</x:v>
      </x:c>
      <x:c r="J10" s="122" t="str">
        <x:v>Model's secondaryParkingInSchedule copied main values; needs correction.</x:v>
      </x:c>
    </x:row>
    <x:row r="11" ht="42" customHeight="1">
      <x:c r="A11" s="121" t="str">
        <x:v>P2_OUT</x:v>
      </x:c>
      <x:c r="B11" s="121" t="str">
        <x:v>INFLOW 4 · North–East parking EXIT to main road</x:v>
      </x:c>
      <x:c r="C11" s="121" t="str">
        <x:v>ParkingSecondOUT</x:v>
      </x:c>
      <x:c r="D11" s="121" t="str">
        <x:v>carSource1</x:v>
      </x:c>
      <x:c r="E11" s="121" t="str">
        <x:v>secondaryParkingOutSchedule</x:v>
      </x:c>
      <x:c r="F11" s="121" t="str">
        <x:v>SCHEDULE_EDIT!G54:G60</x:v>
      </x:c>
      <x:c r="G11" s="121" t="str">
        <x:v>CarSource → CuRegisOfficeParking</x:v>
      </x:c>
      <x:c r="H11" s="121" t="str">
        <x:v>veh/min</x:v>
      </x:c>
      <x:c r="I11" s="121" t="str">
        <x:v>FIELD; MODEL</x:v>
      </x:c>
      <x:c r="J11" s="121" t="str">
        <x:v>27 exits /100min; status from uploaded .alp.</x:v>
      </x:c>
    </x:row>
    <x:row r="12" ht="42" customHeight="1">
      <x:c r="A12" s="122" t="str">
        <x:v>SRC_SIDE_L</x:v>
      </x:c>
      <x:c r="B12" s="122" t="str">
        <x:v>INFLOW 5 · Side road lane 1 (road counter)</x:v>
      </x:c>
      <x:c r="C12" s="122" t="str">
        <x:v>SideLane1</x:v>
      </x:c>
      <x:c r="D12" s="122" t="str">
        <x:v>CarLeftSecond</x:v>
      </x:c>
      <x:c r="E12" s="122" t="str">
        <x:v>SecondRoadSchedule_Left</x:v>
      </x:c>
      <x:c r="F12" s="122" t="str">
        <x:v>SCHEDULE_EDIT!G19:G25</x:v>
      </x:c>
      <x:c r="G12" s="122" t="str">
        <x:v>CarSource → Rate schedule (currently fixed 3)</x:v>
      </x:c>
      <x:c r="H12" s="122" t="str">
        <x:v>veh/min</x:v>
      </x:c>
      <x:c r="I12" s="122" t="str">
        <x:v>FIELD; NOT LINKED</x:v>
      </x:c>
      <x:c r="J12" s="122" t="str">
        <x:v>172 arrivals /100min; do not confuse side-road with parking driveways.</x:v>
      </x:c>
    </x:row>
    <x:row r="13" ht="42" customHeight="1">
      <x:c r="A13" s="121" t="str">
        <x:v>SRC_SIDE_R</x:v>
      </x:c>
      <x:c r="B13" s="121" t="str">
        <x:v>INFLOW 5 · Side road lane 2 (road counter)</x:v>
      </x:c>
      <x:c r="C13" s="121" t="str">
        <x:v>SideLane2</x:v>
      </x:c>
      <x:c r="D13" s="121" t="str">
        <x:v>CarRightSecond</x:v>
      </x:c>
      <x:c r="E13" s="121" t="str">
        <x:v>SecondRoadSchedule_Right</x:v>
      </x:c>
      <x:c r="F13" s="121" t="str">
        <x:v>SCHEDULE_EDIT!G26:G32</x:v>
      </x:c>
      <x:c r="G13" s="121" t="str">
        <x:v>CarSource → Rate schedule (currently fixed 3)</x:v>
      </x:c>
      <x:c r="H13" s="121" t="str">
        <x:v>veh/min</x:v>
      </x:c>
      <x:c r="I13" s="121" t="str">
        <x:v>FIELD; UNIT WARNING</x:v>
      </x:c>
      <x:c r="J13" s="121" t="str">
        <x:v>351 arrivals /100min; schedule saved as PER_SECOND rather than PER_MINUTE.</x:v>
      </x:c>
    </x:row>
    <x:row r="14" ht="42" customHeight="1">
      <x:c r="A14" s="122" t="str">
        <x:v>PED_MAIN</x:v>
      </x:c>
      <x:c r="B14" s="122" t="str">
        <x:v>X1 · Main zebra pedestrian demand</x:v>
      </x:c>
      <x:c r="C14" s="122" t="str">
        <x:v>MainPed</x:v>
      </x:c>
      <x:c r="D14" s="122" t="str">
        <x:v>pedEntrance1Source → pedWait</x:v>
      </x:c>
      <x:c r="E14" s="122" t="str">
        <x:v>pedRateSchedule</x:v>
      </x:c>
      <x:c r="F14" s="122" t="str">
        <x:v>SCHEDULE_EDIT!G61:G67</x:v>
      </x:c>
      <x:c r="G14" s="122" t="str">
        <x:v>PedSource → Rate schedule</x:v>
      </x:c>
      <x:c r="H14" s="122" t="str">
        <x:v>ped/min</x:v>
      </x:c>
      <x:c r="I14" s="122" t="str">
        <x:v>FIELD; MODEL</x:v>
      </x:c>
      <x:c r="J14" s="122" t="str">
        <x:v>889 people / 100min; ped release event currently references this queue.</x:v>
      </x:c>
    </x:row>
    <x:row r="15" ht="42" customHeight="1">
      <x:c r="A15" s="121" t="str">
        <x:v>PED_SECOND</x:v>
      </x:c>
      <x:c r="B15" s="121" t="str">
        <x:v>X2 · South zebra pedestrian demand</x:v>
      </x:c>
      <x:c r="C15" s="121" t="str">
        <x:v>SecondPed</x:v>
      </x:c>
      <x:c r="D15" s="121" t="str">
        <x:v>pedEntrance2Source → pedWait1</x:v>
      </x:c>
      <x:c r="E15" s="121" t="str">
        <x:v>secondPedRateSchedule (TO CREATE)</x:v>
      </x:c>
      <x:c r="F15" s="121" t="str">
        <x:v>SCHEDULE_EDIT!G68:G74</x:v>
      </x:c>
      <x:c r="G15" s="121" t="str">
        <x:v>PedSource → Rate schedule</x:v>
      </x:c>
      <x:c r="H15" s="121" t="str">
        <x:v>ped/min</x:v>
      </x:c>
      <x:c r="I15" s="121" t="str">
        <x:v>MOCK; NOT LINKED</x:v>
      </x:c>
      <x:c r="J15" s="121" t="str">
        <x:v>222 people / 100min provisional; saved PedSource still uses pedRateSchedule.</x:v>
      </x:c>
    </x:row>
    <x:row r="16" ht="42" customHeight="1">
      <x:c r="A16" s="122" t="str">
        <x:v>DROPOFF_MAIN_L</x:v>
      </x:c>
      <x:c r="B16" s="122" t="str">
        <x:v>Z2/Z3 · Main drop-off branch left-named</x:v>
      </x:c>
      <x:c r="C16" s="122" t="str">
        <x:v>main curb dwell</x:v>
      </x:c>
      <x:c r="D16" s="122" t="str">
        <x:v>selectOutput1 → seize1 → delay1</x:v>
      </x:c>
      <x:c r="E16" s="122" t="str">
        <x:v>(not a schedule)</x:v>
      </x:c>
      <x:c r="F16" s="122" t="str">
        <x:v>DROPOFF_PARAMS (find selectOutput1 / delay1)</x:v>
      </x:c>
      <x:c r="G16" s="122" t="str">
        <x:v>SelectOutput true → curbSpots_L</x:v>
      </x:c>
      <x:c r="H16" s="122" t="str">
        <x:v>probability / sec</x:v>
      </x:c>
      <x:c r="I16" s="122" t="str">
        <x:v>MODEL</x:v>
      </x:c>
      <x:c r="J16" s="122" t="str">
        <x:v>0.83 dropoff prob; delay triangular(2.10,6.71,27.35) sec; pool=5.</x:v>
      </x:c>
    </x:row>
    <x:row r="17" ht="42" customHeight="1">
      <x:c r="A17" s="121" t="str">
        <x:v>DROPOFF_MAIN_R</x:v>
      </x:c>
      <x:c r="B17" s="121" t="str">
        <x:v>Z2/Z3 · Main drop-off branch right-named</x:v>
      </x:c>
      <x:c r="C17" s="121" t="str">
        <x:v>main curb dwell</x:v>
      </x:c>
      <x:c r="D17" s="121" t="str">
        <x:v>selectOutput → seize → delay</x:v>
      </x:c>
      <x:c r="E17" s="121" t="str">
        <x:v>(not a schedule)</x:v>
      </x:c>
      <x:c r="F17" s="121" t="str">
        <x:v>DROPOFF_PARAMS (find selectOutput / delay)</x:v>
      </x:c>
      <x:c r="G17" s="121" t="str">
        <x:v>SelectOutput true → curbSpots_R</x:v>
      </x:c>
      <x:c r="H17" s="121" t="str">
        <x:v>probability / sec</x:v>
      </x:c>
      <x:c r="I17" s="121" t="str">
        <x:v>MODEL</x:v>
      </x:c>
      <x:c r="J17" s="121" t="str">
        <x:v>0.0459 dropoff prob; delay triangular(1.40,2.55,7.68) sec; pool=5.</x:v>
      </x:c>
    </x:row>
    <x:row r="18" ht="42" customHeight="1">
      <x:c r="A18" s="122" t="str">
        <x:v>X1_LIGHT</x:v>
      </x:c>
      <x:c r="B18" s="122" t="str">
        <x:v>X1 · Main traffic signal and pedestrian release</x:v>
      </x:c>
      <x:c r="C18" s="122" t="str">
        <x:v>crossingCount</x:v>
      </x:c>
      <x:c r="D18" s="122" t="str">
        <x:v>trafficLight / pedReleaseCheck / Crossroad</x:v>
      </x:c>
      <x:c r="E18" s="122" t="str">
        <x:v>(phase duration)</x:v>
      </x:c>
      <x:c r="F18" s="122" t="str">
        <x:v>TRAFFIC_CONTROL!D6:E9</x:v>
      </x:c>
      <x:c r="G18" s="122" t="str">
        <x:v>TrafficLight phases / Event code</x:v>
      </x:c>
      <x:c r="H18" s="122" t="str">
        <x:v>sec</x:v>
      </x:c>
      <x:c r="I18" s="122" t="str">
        <x:v>MODEL</x:v>
      </x:c>
      <x:c r="J18" s="122" t="str">
        <x:v>RED triangular(0.20,7.96,22.68) / GREEN triangular(2,18.65,66.55).</x:v>
      </x:c>
    </x:row>
    <x:row r="19" ht="42" customHeight="1">
      <x:c r="A19" s="121" t="str">
        <x:v>TURN_SOUTH</x:v>
      </x:c>
      <x:c r="B19" s="121" t="str">
        <x:v>J1 · Left/Straight route split to second entrance</x:v>
      </x:c>
      <x:c r="C19" s="121" t="str">
        <x:v>mockLeftTurnProbability (proposed key)</x:v>
      </x:c>
      <x:c r="D19" s="121" t="str">
        <x:v>selectOutput8/9/10/11</x:v>
      </x:c>
      <x:c r="E19" s="121" t="str">
        <x:v>(not a schedule)</x:v>
      </x:c>
      <x:c r="F19" s="121" t="str">
        <x:v>SELECT_OUTPUTS (locate selectOutput8..11)</x:v>
      </x:c>
      <x:c r="G19" s="121" t="str">
        <x:v>SelectOutput5 out1 / out2</x:v>
      </x:c>
      <x:c r="H19" s="121" t="str">
        <x:v>probability</x:v>
      </x:c>
      <x:c r="I19" s="121" t="str">
        <x:v>MOCK; MODEL</x:v>
      </x:c>
      <x:c r="J19" s="121" t="str">
        <x:v>Saved 0.70 to Chula9Road, 0.30 to SecondEntranceRoad.</x:v>
      </x:c>
    </x:row>
    <x:row r="20" ht="42" customHeight="1">
      <x:c r="A20" s="122" t="str">
        <x:v>SIDE_ROUTE</x:v>
      </x:c>
      <x:c r="B20" s="122" t="str">
        <x:v>J2 · Side-road branching before merge</x:v>
      </x:c>
      <x:c r="C20" s="122" t="str">
        <x:v>sideBranchProbability (proposed key)</x:v>
      </x:c>
      <x:c r="D20" s="122" t="str">
        <x:v>selectOutput2 / selectOutput3</x:v>
      </x:c>
      <x:c r="E20" s="122" t="str">
        <x:v>(not a schedule)</x:v>
      </x:c>
      <x:c r="F20" s="122" t="str">
        <x:v>SELECT_OUTPUTS (locate selectOutput2/3)</x:v>
      </x:c>
      <x:c r="G20" s="122" t="str">
        <x:v>SelectOutput true/false to carMoveTo7/8/11/12</x:v>
      </x:c>
      <x:c r="H20" s="122" t="str">
        <x:v>probability</x:v>
      </x:c>
      <x:c r="I20" s="122" t="str">
        <x:v>MODEL; VERIFY</x:v>
      </x:c>
      <x:c r="J20" s="122" t="str">
        <x:v>Saved 0.10 and 0.90; note selectOutput3 BOTH outputs go to SecondEntranceRoad.</x:v>
      </x:c>
    </x:row>
    <x:row r="21" ht="42" customHeight="1">
      <x:c r="A21" s="121" t="str">
        <x:v>DROPOFF_SECOND</x:v>
      </x:c>
      <x:c r="B21" s="121" t="str">
        <x:v>Z1 · South second-entrance drop-off (LEFT only)</x:v>
      </x:c>
      <x:c r="C21" s="121" t="str">
        <x:v>SecondDropoff</x:v>
      </x:c>
      <x:c r="D21" s="121" t="str">
        <x:v>selectOutput4 → seize2 → delay2</x:v>
      </x:c>
      <x:c r="E21" s="121" t="str">
        <x:v>(not a schedule)</x:v>
      </x:c>
      <x:c r="F21" s="121" t="str">
        <x:v>FIELD_MOCK!D61:D67; SELECT_OUTPUTS (selectOutput4)</x:v>
      </x:c>
      <x:c r="G21" s="121" t="str">
        <x:v>SelectOutput true → curbSpots2_L</x:v>
      </x:c>
      <x:c r="H21" s="121" t="str">
        <x:v>probability / sec</x:v>
      </x:c>
      <x:c r="I21" s="121" t="str">
        <x:v>MOCK TARGET; MODEL DIFF</x:v>
      </x:c>
      <x:c r="J21" s="121" t="str">
        <x:v>105/100min mock target; saved selectOutput4=0.83 and delay2 pool cap=5. Needs calibration.</x:v>
      </x:c>
    </x:row>
    <x:row r="22" ht="42" customHeight="1">
      <x:c r="A22" s="122" t="str">
        <x:v>X2_RELEASE</x:v>
      </x:c>
      <x:c r="B22" s="122" t="str">
        <x:v>X2 · Second zebra release logic</x:v>
      </x:c>
      <x:c r="C22" s="122" t="str">
        <x:v>secondPedWait (proposed key)</x:v>
      </x:c>
      <x:c r="D22" s="122" t="str">
        <x:v>pedWait1; pedEntrance2Source</x:v>
      </x:c>
      <x:c r="E22" s="122" t="str">
        <x:v>(no event wired)</x:v>
      </x:c>
      <x:c r="F22" s="122" t="str">
        <x:v>AUDIT (trafficLight / pedWait1)</x:v>
      </x:c>
      <x:c r="G22" s="122" t="str">
        <x:v>Event or controller to release second PedWait</x:v>
      </x:c>
      <x:c r="H22" s="122" t="str">
        <x:v>Java / sec</x:v>
      </x:c>
      <x:c r="I22" s="122" t="str">
        <x:v>NOT IMPLEMENTED</x:v>
      </x:c>
      <x:c r="J22" s="122" t="str">
        <x:v>pedReleaseCheck currently only calls pedWait.freeAllWaitingPeds(); second queue not handled.</x:v>
      </x:c>
    </x:row>
    <x:row r="23" ht="42" customHeight="1">
      <x:c r="A23" s="121" t="str">
        <x:v>KPI_MAIN</x:v>
      </x:c>
      <x:c r="B23" s="121" t="str">
        <x:v>Main zebra performance metrics</x:v>
      </x:c>
      <x:c r="C23" s="121" t="str">
        <x:v>avgPedWaitMain (proposed key)</x:v>
      </x:c>
      <x:c r="D23" s="121" t="str">
        <x:v>pedWait / counters</x:v>
      </x:c>
      <x:c r="E23" s="121" t="str">
        <x:v>(not a schedule)</x:v>
      </x:c>
      <x:c r="F23" s="121" t="str">
        <x:v>KPI_REGISTER</x:v>
      </x:c>
      <x:c r="G23" s="121" t="str">
        <x:v>PedWait OnExit, per-crossing datasets</x:v>
      </x:c>
      <x:c r="H23" s="121" t="str">
        <x:v>sec / count</x:v>
      </x:c>
      <x:c r="I23" s="121" t="str">
        <x:v>PARTIAL</x:v>
      </x:c>
      <x:c r="J23" s="121" t="str">
        <x:v>Saved totalPedWait and measuredPedCount combine both crossing waits; separate needed.</x:v>
      </x:c>
    </x:row>
    <x:row r="24" ht="42" customHeight="1">
      <x:c r="A24" s="122" t="str">
        <x:v>KPI_SECOND</x:v>
      </x:c>
      <x:c r="B24" s="122" t="str">
        <x:v>Second zebra performance metrics</x:v>
      </x:c>
      <x:c r="C24" s="122" t="str">
        <x:v>avgPedWaitSecond (proposed key)</x:v>
      </x:c>
      <x:c r="D24" s="122" t="str">
        <x:v>pedWait1 / counters</x:v>
      </x:c>
      <x:c r="E24" s="122" t="str">
        <x:v>(not a schedule)</x:v>
      </x:c>
      <x:c r="F24" s="122" t="str">
        <x:v>KPI_REGISTER</x:v>
      </x:c>
      <x:c r="G24" s="122" t="str">
        <x:v>PedWait OnExit, per-crossing datasets</x:v>
      </x:c>
      <x:c r="H24" s="122" t="str">
        <x:v>sec / count</x:v>
      </x:c>
      <x:c r="I24" s="122" t="str">
        <x:v>PARTIAL</x:v>
      </x:c>
      <x:c r="J24" s="122" t="str">
        <x:v>Current pedWait1 feeds the same totalPedWait and measuredPedCount as main.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42" hidden="0" customWidth="1"/>
    <x:col min="4" max="4" width="104" hidden="0" customWidth="1"/>
    <x:col min="5" max="5" width="24" hidden="0" customWidth="1"/>
    <x:col min="6" max="6" width="48" hidden="0" customWidth="1"/>
    <x:col min="7" max="7" width="22" hidden="0" customWidth="1"/>
    <x:col min="8" max="8" width="79" hidden="0" customWidth="1"/>
  </x:cols>
  <x:sheetData>
    <x:row r="1" ht="24" customHeight="1">
      <x:c r="A1" s="115" t="str">
        <x:v>ROUTE RULES   /   SELECT OUTPUT SHORTLIST</x:v>
      </x:c>
      <x:c r="B1" s="115"/>
      <x:c r="C1" s="115"/>
      <x:c r="D1" s="115"/>
      <x:c r="E1" s="115"/>
      <x:c r="F1" s="115"/>
      <x:c r="G1" s="115"/>
      <x:c r="H1" s="115"/>
    </x:row>
    <x:row r="2" ht="24" customHeight="1">
      <x:c r="A2" s="115"/>
      <x:c r="B2" s="115"/>
      <x:c r="C2" s="115"/>
      <x:c r="D2" s="115"/>
      <x:c r="E2" s="115"/>
      <x:c r="F2" s="115"/>
      <x:c r="G2" s="115"/>
      <x:c r="H2" s="115"/>
    </x:row>
    <x:row r="3" ht="35" customHeight="1">
      <x:c r="A3" s="118" t="str">
        <x:v>Short explanation for the whole team. Exact saved parameter and ports for all selectors remain in the existing SELECT_OUTPUTS tab.</x:v>
      </x:c>
      <x:c r="B3" s="118"/>
      <x:c r="C3" s="118"/>
      <x:c r="D3" s="118"/>
      <x:c r="E3" s="118"/>
      <x:c r="F3" s="118"/>
      <x:c r="G3" s="118"/>
      <x:c r="H3" s="118"/>
    </x:row>
    <x:row r="5" ht="30" customHeight="1">
      <x:c r="A5" s="119" t="str">
        <x:v>Rule ID</x:v>
      </x:c>
      <x:c r="B5" s="119" t="str">
        <x:v>From / path</x:v>
      </x:c>
      <x:c r="C5" s="119" t="str">
        <x:v>AnyLogic selector</x:v>
      </x:c>
      <x:c r="D5" s="119" t="str">
        <x:v>Saved output wiring</x:v>
      </x:c>
      <x:c r="E5" s="119" t="str">
        <x:v>Current value</x:v>
      </x:c>
      <x:c r="F5" s="119" t="str">
        <x:v>Destination / meaning</x:v>
      </x:c>
      <x:c r="G5" s="119" t="str">
        <x:v>Source</x:v>
      </x:c>
      <x:c r="H5" s="119" t="str">
        <x:v>Audit note</x:v>
      </x:c>
    </x:row>
    <x:row r="6" ht="42" customHeight="1">
      <x:c r="A6" s="122" t="str">
        <x:v>R01</x:v>
      </x:c>
      <x:c r="B6" s="122" t="str">
        <x:v>SRC_MAIN_R</x:v>
      </x:c>
      <x:c r="C6" s="122" t="str">
        <x:v>selectOutput</x:v>
      </x:c>
      <x:c r="D6" s="122" t="str">
        <x:v>outT → seize; outF → carMoveTo</x:v>
      </x:c>
      <x:c r="E6" s="122" t="str">
        <x:v>0.0459 yes</x:v>
      </x:c>
      <x:c r="F6" s="122" t="str">
        <x:v>main curb right group</x:v>
      </x:c>
      <x:c r="G6" s="122" t="str">
        <x:v>MODEL</x:v>
      </x:c>
      <x:c r="H6" s="122" t="str">
        <x:v>Drop-off decision before school zebra</x:v>
      </x:c>
    </x:row>
    <x:row r="7" ht="42" customHeight="1">
      <x:c r="A7" s="121" t="str">
        <x:v>R02</x:v>
      </x:c>
      <x:c r="B7" s="121" t="str">
        <x:v>SRC_MAIN_L</x:v>
      </x:c>
      <x:c r="C7" s="121" t="str">
        <x:v>selectOutput1</x:v>
      </x:c>
      <x:c r="D7" s="121" t="str">
        <x:v>outT → seize1; outF → carMoveTo1</x:v>
      </x:c>
      <x:c r="E7" s="121" t="str">
        <x:v>0.83 yes</x:v>
      </x:c>
      <x:c r="F7" s="121" t="str">
        <x:v>main curb left group</x:v>
      </x:c>
      <x:c r="G7" s="121" t="str">
        <x:v>MODEL</x:v>
      </x:c>
      <x:c r="H7" s="121" t="str">
        <x:v>Distinct lane flow from R01</x:v>
      </x:c>
    </x:row>
    <x:row r="8" ht="42" customHeight="1">
      <x:c r="A8" s="122" t="str">
        <x:v>R03</x:v>
      </x:c>
      <x:c r="B8" s="122" t="str">
        <x:v>side road lane 1</x:v>
      </x:c>
      <x:c r="C8" s="122" t="str">
        <x:v>selectOutput2</x:v>
      </x:c>
      <x:c r="D8" s="122" t="str">
        <x:v>outT → carMoveTo7 → Chula9Road; outF → carMoveTo11 → SecondEntranceRoad</x:v>
      </x:c>
      <x:c r="E8" s="122" t="str">
        <x:v>0.10 true</x:v>
      </x:c>
      <x:c r="F8" s="122" t="str">
        <x:v>intersection exit</x:v>
      </x:c>
      <x:c r="G8" s="122" t="str">
        <x:v>MODEL; VERIFY</x:v>
      </x:c>
      <x:c r="H8" s="122" t="str">
        <x:v>Saved routing, but need confirm physical turn semantics.</x:v>
      </x:c>
    </x:row>
    <x:row r="9" ht="42" customHeight="1">
      <x:c r="A9" s="121" t="str">
        <x:v>R04</x:v>
      </x:c>
      <x:c r="B9" s="121" t="str">
        <x:v>side road lane 2</x:v>
      </x:c>
      <x:c r="C9" s="121" t="str">
        <x:v>selectOutput3</x:v>
      </x:c>
      <x:c r="D9" s="121" t="str">
        <x:v>outT → carMoveTo8 → SecondEntranceRoad; outF → carMoveTo12 → SecondEntranceRoad</x:v>
      </x:c>
      <x:c r="E9" s="121" t="str">
        <x:v>0.90 true</x:v>
      </x:c>
      <x:c r="F9" s="121" t="str">
        <x:v>same target road both branches</x:v>
      </x:c>
      <x:c r="G9" s="121" t="str">
        <x:v>MODEL; CHECK</x:v>
      </x:c>
      <x:c r="H9" s="121" t="str">
        <x:v>Likely unintended duplicate target.</x:v>
      </x:c>
    </x:row>
    <x:row r="10" ht="42" customHeight="1">
      <x:c r="A10" s="122" t="str">
        <x:v>R05</x:v>
      </x:c>
      <x:c r="B10" s="122" t="str">
        <x:v>main/merged branch A</x:v>
      </x:c>
      <x:c r="C10" s="122" t="str">
        <x:v>selectOutput8</x:v>
      </x:c>
      <x:c r="D10" s="122" t="str">
        <x:v>out1 → carMoveTo4 → Chula9Road; out2 → carMoveTo10 → SecondEntranceRoad</x:v>
      </x:c>
      <x:c r="E10" s="122" t="str">
        <x:v>0.70 / 0.30</x:v>
      </x:c>
      <x:c r="F10" s="122" t="str">
        <x:v>J1: straight / south</x:v>
      </x:c>
      <x:c r="G10" s="122" t="str">
        <x:v>MOCK IN MODEL</x:v>
      </x:c>
      <x:c r="H10" s="122" t="str">
        <x:v>Downstream routing</x:v>
      </x:c>
    </x:row>
    <x:row r="11" ht="42" customHeight="1">
      <x:c r="A11" s="121" t="str">
        <x:v>R06</x:v>
      </x:c>
      <x:c r="B11" s="121" t="str">
        <x:v>main/merged branch B</x:v>
      </x:c>
      <x:c r="C11" s="121" t="str">
        <x:v>selectOutput9</x:v>
      </x:c>
      <x:c r="D11" s="121" t="str">
        <x:v>out1 → carMoveTo3 → Chula9Road; out2 → carMoveTo13 → SecondEntranceRoad</x:v>
      </x:c>
      <x:c r="E11" s="121" t="str">
        <x:v>0.70 / 0.30</x:v>
      </x:c>
      <x:c r="F11" s="121" t="str">
        <x:v>J1: straight / south</x:v>
      </x:c>
      <x:c r="G11" s="121" t="str">
        <x:v>MOCK IN MODEL</x:v>
      </x:c>
      <x:c r="H11" s="121" t="str">
        <x:v>Downstream routing</x:v>
      </x:c>
    </x:row>
    <x:row r="12" ht="42" customHeight="1">
      <x:c r="A12" s="122" t="str">
        <x:v>R07</x:v>
      </x:c>
      <x:c r="B12" s="122" t="str">
        <x:v>main/merged branch C</x:v>
      </x:c>
      <x:c r="C12" s="122" t="str">
        <x:v>selectOutput10</x:v>
      </x:c>
      <x:c r="D12" s="122" t="str">
        <x:v>out1 → carMoveTo5 → Chula9Road; out2 → carMoveTo14 → SecondEntranceRoad</x:v>
      </x:c>
      <x:c r="E12" s="122" t="str">
        <x:v>0.70 / 0.30</x:v>
      </x:c>
      <x:c r="F12" s="122" t="str">
        <x:v>J1: straight / south</x:v>
      </x:c>
      <x:c r="G12" s="122" t="str">
        <x:v>MOCK IN MODEL</x:v>
      </x:c>
      <x:c r="H12" s="122" t="str">
        <x:v>Downstream routing</x:v>
      </x:c>
    </x:row>
    <x:row r="13" ht="42" customHeight="1">
      <x:c r="A13" s="121" t="str">
        <x:v>R08</x:v>
      </x:c>
      <x:c r="B13" s="121" t="str">
        <x:v>main/merged branch D</x:v>
      </x:c>
      <x:c r="C13" s="121" t="str">
        <x:v>selectOutput11</x:v>
      </x:c>
      <x:c r="D13" s="121" t="str">
        <x:v>out1 → carMoveTo6 → Chula9Road; out2 → carMoveTo15 → SecondEntranceRoad</x:v>
      </x:c>
      <x:c r="E13" s="121" t="str">
        <x:v>0.70 / 0.30</x:v>
      </x:c>
      <x:c r="F13" s="121" t="str">
        <x:v>J1: straight / south</x:v>
      </x:c>
      <x:c r="G13" s="121" t="str">
        <x:v>MOCK IN MODEL</x:v>
      </x:c>
      <x:c r="H13" s="121" t="str">
        <x:v>Downstream routing</x:v>
      </x:c>
    </x:row>
    <x:row r="14" ht="42" customHeight="1">
      <x:c r="A14" s="122" t="str">
        <x:v>R09</x:v>
      </x:c>
      <x:c r="B14" s="122" t="str">
        <x:v>second entrance drop-off</x:v>
      </x:c>
      <x:c r="C14" s="122" t="str">
        <x:v>selectOutput4</x:v>
      </x:c>
      <x:c r="D14" s="122" t="str">
        <x:v>outT → seize2; outF → sink5</x:v>
      </x:c>
      <x:c r="E14" s="122" t="str">
        <x:v>0.83 yes</x:v>
      </x:c>
      <x:c r="F14" s="122" t="str">
        <x:v>Z1 second drop-off</x:v>
      </x:c>
      <x:c r="G14" s="122" t="str">
        <x:v>MODEL; CHECK</x:v>
      </x:c>
      <x:c r="H14" s="122" t="str">
        <x:v>Saved connection carMoveTo15→selectOutput4 after end of road, problematic.</x:v>
      </x:c>
    </x:row>
    <x:row r="15" ht="42" customHeight="1">
      <x:c r="A15" s="121" t="str">
        <x:v>R10</x:v>
      </x:c>
      <x:c r="B15" s="121" t="str">
        <x:v>main curb lane right spots</x:v>
      </x:c>
      <x:c r="C15" s="121" t="str">
        <x:v>selectOutput5</x:v>
      </x:c>
      <x:c r="D15" s="121" t="str">
        <x:v>out1–out5 → carMoveTo_R1..._R5</x:v>
      </x:c>
      <x:c r="E15" s="121" t="str">
        <x:v>slot index 0–4</x:v>
      </x:c>
      <x:c r="F15" s="121" t="str">
        <x:v>Z2/Z3 main curb</x:v>
      </x:c>
      <x:c r="G15" s="121" t="str">
        <x:v>MODEL</x:v>
      </x:c>
      <x:c r="H15" s="121" t="str">
        <x:v>Uses rightFree[]</x:v>
      </x:c>
    </x:row>
    <x:row r="16" ht="42" customHeight="1">
      <x:c r="A16" s="122" t="str">
        <x:v>R11</x:v>
      </x:c>
      <x:c r="B16" s="122" t="str">
        <x:v>main curb lane left spots</x:v>
      </x:c>
      <x:c r="C16" s="122" t="str">
        <x:v>selectOutput6 + selectOutput7</x:v>
      </x:c>
      <x:c r="D16" s="122" t="str">
        <x:v>out1–out4 → carMoveTo_L1...L4; extra via selectOutput7</x:v>
      </x:c>
      <x:c r="E16" s="122" t="str">
        <x:v>slot logic</x:v>
      </x:c>
      <x:c r="F16" s="122" t="str">
        <x:v>Z2/Z3 main curb</x:v>
      </x:c>
      <x:c r="G16" s="122" t="str">
        <x:v>MODEL; CHECK</x:v>
      </x:c>
      <x:c r="H16" s="122" t="str">
        <x:v>Some slot conditions may be unreachable.</x:v>
      </x:c>
    </x:row>
    <x:row r="17" ht="42" customHeight="1">
      <x:c r="A17" s="121" t="str">
        <x:v>R12</x:v>
      </x:c>
      <x:c r="B17" s="121" t="str">
        <x:v>second curb slots</x:v>
      </x:c>
      <x:c r="C17" s="121" t="str">
        <x:v>selectOutput12</x:v>
      </x:c>
      <x:c r="D17" s="121" t="str">
        <x:v>out1–out5 → carMoveTo_R6...R10</x:v>
      </x:c>
      <x:c r="E17" s="121" t="str">
        <x:v>slot conditions</x:v>
      </x:c>
      <x:c r="F17" s="121" t="str">
        <x:v>Z1 second curb</x:v>
      </x:c>
      <x:c r="G17" s="121" t="str">
        <x:v>MODEL; CHECK</x:v>
      </x:c>
      <x:c r="H17" s="121" t="str">
        <x:v>assignSlotL1 uses first-gate leftFree array in uploaded model.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58" hidden="0" customWidth="1"/>
    <x:col min="4" max="4" width="39" hidden="0" customWidth="1"/>
    <x:col min="5" max="5" width="101" hidden="0" customWidth="1"/>
  </x:cols>
  <x:sheetData>
    <x:row r="1" ht="24" customHeight="1">
      <x:c r="A1" s="115" t="str">
        <x:v>COLUMN DICTIONARY   /   STANDARD FIELD NAMES</x:v>
      </x:c>
      <x:c r="B1" s="115"/>
      <x:c r="C1" s="115"/>
      <x:c r="D1" s="115"/>
      <x:c r="E1" s="115"/>
    </x:row>
    <x:row r="2" ht="24" customHeight="1">
      <x:c r="A2" s="115"/>
      <x:c r="B2" s="115"/>
      <x:c r="C2" s="115"/>
      <x:c r="D2" s="115"/>
      <x:c r="E2" s="115"/>
    </x:row>
    <x:row r="3" ht="35" customHeight="1">
      <x:c r="A3" s="118" t="str">
        <x:v>Recommended tidy-format dataset: one record for each (source_id, time_start, time_end, scenario_id). Existing FIELD_MOCK and SCHEDULE_EDIT are wide/aggregated workflow sheets.</x:v>
      </x:c>
      <x:c r="B3" s="118"/>
      <x:c r="C3" s="118"/>
      <x:c r="D3" s="118"/>
      <x:c r="E3" s="118"/>
    </x:row>
    <x:row r="5" ht="30" customHeight="1">
      <x:c r="A5" s="119" t="str">
        <x:v>Column name</x:v>
      </x:c>
      <x:c r="B5" s="119" t="str">
        <x:v>Data type / unit</x:v>
      </x:c>
      <x:c r="C5" s="119" t="str">
        <x:v>Meaning (Thai/English)</x:v>
      </x:c>
      <x:c r="D5" s="119" t="str">
        <x:v>Example</x:v>
      </x:c>
      <x:c r="E5" s="119" t="str">
        <x:v>Notes / validation</x:v>
      </x:c>
    </x:row>
    <x:row r="6" ht="42" customHeight="1">
      <x:c r="A6" s="122" t="str">
        <x:v>source_id</x:v>
      </x:c>
      <x:c r="B6" s="122" t="str">
        <x:v>text</x:v>
      </x:c>
      <x:c r="C6" s="122" t="str">
        <x:v>Identifier in workbook</x:v>
      </x:c>
      <x:c r="D6" s="122" t="str">
        <x:v>SRC_MAIN_L, P1_OUT, PED_SECOND</x:v>
      </x:c>
      <x:c r="E6" s="122" t="str">
        <x:v>Unique stable key used in team discussions; maps to model in DATA_BINDINGS</x:v>
      </x:c>
    </x:row>
    <x:row r="7" ht="42" customHeight="1">
      <x:c r="A7" s="121" t="str">
        <x:v>time_start</x:v>
      </x:c>
      <x:c r="B7" s="121" t="str">
        <x:v>hh:mm</x:v>
      </x:c>
      <x:c r="C7" s="121" t="str">
        <x:v>Start of observation bin</x:v>
      </x:c>
      <x:c r="D7" s="121" t="str">
        <x:v>06:30</x:v>
      </x:c>
      <x:c r="E7" s="121" t="str">
        <x:v>Clock from 06:30 simulation morning</x:v>
      </x:c>
    </x:row>
    <x:row r="8" ht="42" customHeight="1">
      <x:c r="A8" s="122" t="str">
        <x:v>time_end</x:v>
      </x:c>
      <x:c r="B8" s="122" t="str">
        <x:v>hh:mm</x:v>
      </x:c>
      <x:c r="C8" s="122" t="str">
        <x:v>End of observation bin</x:v>
      </x:c>
      <x:c r="D8" s="122" t="str">
        <x:v>06:45</x:v>
      </x:c>
      <x:c r="E8" s="122" t="str">
        <x:v>Exclusive upper bound</x:v>
      </x:c>
    </x:row>
    <x:row r="9" ht="42" customHeight="1">
      <x:c r="A9" s="121" t="str">
        <x:v>duration_min</x:v>
      </x:c>
      <x:c r="B9" s="121" t="str">
        <x:v>minutes</x:v>
      </x:c>
      <x:c r="C9" s="121" t="str">
        <x:v>Bin duration</x:v>
      </x:c>
      <x:c r="D9" s="121" t="str">
        <x:v>15</x:v>
      </x:c>
      <x:c r="E9" s="121" t="str">
        <x:v>For 08:00–08:10, use 10, not 15</x:v>
      </x:c>
    </x:row>
    <x:row r="10" ht="42" customHeight="1">
      <x:c r="A10" s="122" t="str">
        <x:v>count</x:v>
      </x:c>
      <x:c r="B10" s="122" t="str">
        <x:v>vehicles or people</x:v>
      </x:c>
      <x:c r="C10" s="122" t="str">
        <x:v>Count observed / mock within bin</x:v>
      </x:c>
      <x:c r="D10" s="122" t="str">
        <x:v>21</x:v>
      </x:c>
      <x:c r="E10" s="122" t="str">
        <x:v>Editable count FIELD_MOCK!D ; provenance retained</x:v>
      </x:c>
    </x:row>
    <x:row r="11" ht="42" customHeight="1">
      <x:c r="A11" s="121" t="str">
        <x:v>rate_per_min</x:v>
      </x:c>
      <x:c r="B11" s="121" t="str">
        <x:v>vehicles/min or people/min</x:v>
      </x:c>
      <x:c r="C11" s="121" t="str">
        <x:v>Count per minute for AnyLogic</x:v>
      </x:c>
      <x:c r="D11" s="121" t="str">
        <x:v>count ÷ duration_min</x:v>
      </x:c>
      <x:c r="E11" s="121" t="str">
        <x:v>SCHEDULE_EDIT!G; copy to AnyLogic with PER_MINUTE selected</x:v>
      </x:c>
    </x:row>
    <x:row r="12" ht="42" customHeight="1">
      <x:c r="A12" s="122" t="str">
        <x:v>scenario_id</x:v>
      </x:c>
      <x:c r="B12" s="122" t="str">
        <x:v>text</x:v>
      </x:c>
      <x:c r="C12" s="122" t="str">
        <x:v>Scenario run / version</x:v>
      </x:c>
      <x:c r="D12" s="122" t="str">
        <x:v>B0</x:v>
      </x:c>
      <x:c r="E12" s="122" t="str">
        <x:v>B0 baseline, D1 slots, P2 threshold...</x:v>
      </x:c>
    </x:row>
    <x:row r="13" ht="42" customHeight="1">
      <x:c r="A13" s="121" t="str">
        <x:v>data_class</x:v>
      </x:c>
      <x:c r="B13" s="121" t="str">
        <x:v>enum</x:v>
      </x:c>
      <x:c r="C13" s="121" t="str">
        <x:v>Provenance</x:v>
      </x:c>
      <x:c r="D13" s="121" t="str">
        <x:v>FIELD / MOCK / MODEL</x:v>
      </x:c>
      <x:c r="E13" s="121" t="str">
        <x:v>FIELD observed, MOCK assumption, MODEL snapshot, PROPOSED what-if</x:v>
      </x:c>
    </x:row>
    <x:row r="14" ht="42" customHeight="1">
      <x:c r="A14" s="122" t="str">
        <x:v>model_object</x:v>
      </x:c>
      <x:c r="B14" s="122" t="str">
        <x:v>text</x:v>
      </x:c>
      <x:c r="C14" s="122" t="str">
        <x:v>Exact AnyLogic model block name</x:v>
      </x:c>
      <x:c r="D14" s="122" t="str">
        <x:v>CarLeftPhayathai</x:v>
      </x:c>
      <x:c r="E14" s="122" t="str">
        <x:v>Case-sensitive, do not rename without updating register</x:v>
      </x:c>
    </x:row>
    <x:row r="15" ht="42" customHeight="1">
      <x:c r="A15" s="121" t="str">
        <x:v>schedule_object</x:v>
      </x:c>
      <x:c r="B15" s="121" t="str">
        <x:v>text</x:v>
      </x:c>
      <x:c r="C15" s="121" t="str">
        <x:v>Exact AnyLogic rate schedule name</x:v>
      </x:c>
      <x:c r="D15" s="121" t="str">
        <x:v>carRateSchedule_Left</x:v>
      </x:c>
      <x:c r="E15" s="121" t="str">
        <x:v>TO CREATE if only proposed</x:v>
      </x:c>
    </x:row>
    <x:row r="16" ht="42" customHeight="1">
      <x:c r="A16" s="122" t="str">
        <x:v>lane_id</x:v>
      </x:c>
      <x:c r="B16" s="122" t="str">
        <x:v>text</x:v>
      </x:c>
      <x:c r="C16" s="122" t="str">
        <x:v>Physical lane origin (when verified)</x:v>
      </x:c>
      <x:c r="D16" s="122" t="str">
        <x:v>main_lane_1</x:v>
      </x:c>
      <x:c r="E16" s="122" t="str">
        <x:v>DO NOT infer from name alone; confirm geometry</x:v>
      </x:c>
    </x:row>
    <x:row r="17" ht="42" customHeight="1">
      <x:c r="A17" s="121" t="str">
        <x:v>zone_id</x:v>
      </x:c>
      <x:c r="B17" s="121" t="str">
        <x:v>text</x:v>
      </x:c>
      <x:c r="C17" s="121" t="str">
        <x:v>Network zone code</x:v>
      </x:c>
      <x:c r="D17" s="121" t="str">
        <x:v>Z1 / Z2 / Z3</x:v>
      </x:c>
      <x:c r="E17" s="121" t="str">
        <x:v>Z1 south entrance, Z2/Z3 main drop-off per provided sketch; exact lane assignment verify</x:v>
      </x:c>
    </x:row>
    <x:row r="18" ht="42" customHeight="1">
      <x:c r="A18" s="122" t="str">
        <x:v>movement</x:v>
      </x:c>
      <x:c r="B18" s="122" t="str">
        <x:v>enum</x:v>
      </x:c>
      <x:c r="C18" s="122" t="str">
        <x:v>Next movement</x:v>
      </x:c>
      <x:c r="D18" s="122" t="str">
        <x:v>STRAIGHT / LEFT / PARK_IN / PARK_OUT</x:v>
      </x:c>
      <x:c r="E18" s="122" t="str">
        <x:v>A trip-choice label, not the CarSource</x:v>
      </x:c>
    </x:row>
    <x:row r="19" ht="42" customHeight="1">
      <x:c r="A19" s="121" t="str">
        <x:v>probability</x:v>
      </x:c>
      <x:c r="B19" s="121" t="str">
        <x:v>fraction 0..1</x:v>
      </x:c>
      <x:c r="C19" s="121" t="str">
        <x:v>SelectOutput true or weighted branch</x:v>
      </x:c>
      <x:c r="D19" s="121" t="str">
        <x:v>0.30</x:v>
      </x:c>
      <x:c r="E19" s="121" t="str">
        <x:v>For 5-way SelectOutput, weights must sum to 1 where probabilistic</x:v>
      </x:c>
    </x:row>
    <x:row r="20" ht="42" customHeight="1">
      <x:c r="A20" s="122" t="str">
        <x:v>travel_wait_sec</x:v>
      </x:c>
      <x:c r="B20" s="122" t="str">
        <x:v>seconds</x:v>
      </x:c>
      <x:c r="C20" s="122" t="str">
        <x:v>Pedestrian wait or car delay KPI</x:v>
      </x:c>
      <x:c r="D20" s="122" t="str">
        <x:v>12.93</x:v>
      </x:c>
      <x:c r="E20" s="122" t="str">
        <x:v>Per gate; don't mix with earlier historic aggregate</x:v>
      </x:c>
    </x:row>
    <x:row r="21" ht="42" customHeight="1">
      <x:c r="A21" s="121" t="str">
        <x:v>edit_owner</x:v>
      </x:c>
      <x:c r="B21" s="121" t="str">
        <x:v>text</x:v>
      </x:c>
      <x:c r="C21" s="121" t="str">
        <x:v>Team member responsible</x:v>
      </x:c>
      <x:c r="D21" s="121" t="str">
        <x:v>Traffic Team</x:v>
      </x:c>
      <x:c r="E21" s="121" t="str">
        <x:v>Add to CHANGE_LOG for actual edits</x:v>
      </x:c>
    </x:row>
    <x:row r="22" ht="42" customHeight="1">
      <x:c r="A22" s="122" t="str">
        <x:v>version_checked</x:v>
      </x:c>
      <x:c r="B22" s="122" t="str">
        <x:v>text/date</x:v>
      </x:c>
      <x:c r="C22" s="122" t="str">
        <x:v>Source .alp version checked</x:v>
      </x:c>
      <x:c r="D22" s="122" t="str">
        <x:v>2026-10-18 .alp upload</x:v>
      </x:c>
      <x:c r="E22" s="122" t="str">
        <x:v>User may edit model after upload; re-audit model as needed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72" hidden="0" customWidth="1"/>
    <x:col min="4" max="4" width="23" hidden="0" customWidth="1"/>
    <x:col min="5" max="5" width="100" hidden="0" customWidth="1"/>
  </x:cols>
  <x:sheetData>
    <x:row r="1" ht="24" customHeight="1">
      <x:c r="A1" s="115" t="str">
        <x:v>SCHEMA INDEX   /   HOW TO USE THIS MAP</x:v>
      </x:c>
      <x:c r="B1" s="115"/>
      <x:c r="C1" s="115"/>
      <x:c r="D1" s="115"/>
      <x:c r="E1" s="115"/>
    </x:row>
    <x:row r="2" ht="24" customHeight="1">
      <x:c r="A2" s="115"/>
      <x:c r="B2" s="115"/>
      <x:c r="C2" s="115"/>
      <x:c r="D2" s="115"/>
      <x:c r="E2" s="115"/>
    </x:row>
    <x:row r="3" ht="35" customHeight="1">
      <x:c r="A3" s="118" t="str">
        <x:v>Quick entry point: coordinate MAP IDs → input series → AnyLogic property → record scenario and verify.</x:v>
      </x:c>
      <x:c r="B3" s="118"/>
      <x:c r="C3" s="118"/>
      <x:c r="D3" s="118"/>
      <x:c r="E3" s="118"/>
    </x:row>
    <x:row r="5" ht="30" customHeight="1">
      <x:c r="A5" s="119" t="str">
        <x:v>Area</x:v>
      </x:c>
      <x:c r="B5" s="119" t="str">
        <x:v>Workbook cell reference</x:v>
      </x:c>
      <x:c r="C5" s="119" t="str">
        <x:v>Purpose</x:v>
      </x:c>
      <x:c r="D5" s="119" t="str">
        <x:v>Status</x:v>
      </x:c>
      <x:c r="E5" s="119" t="str">
        <x:v>How to use</x:v>
      </x:c>
    </x:row>
    <x:row r="6" ht="42" customHeight="1">
      <x:c r="A6" s="122" t="str">
        <x:v>MODEL topology</x:v>
      </x:c>
      <x:c r="B6" s="122" t="str">
        <x:v>SIM_NETWORK_MAP!A8:Y35</x:v>
      </x:c>
      <x:c r="C6" s="122" t="str">
        <x:v>Sketch from user + latest model</x:v>
      </x:c>
      <x:c r="D6" s="122" t="str">
        <x:v>MODEL / sketch</x:v>
      </x:c>
      <x:c r="E6" s="122" t="str">
        <x:v>Not geographic scale; route crosswalk must be verified visually.</x:v>
      </x:c>
    </x:row>
    <x:row r="7" ht="42" customHeight="1">
      <x:c r="A7" s="121" t="str">
        <x:v>Measured counts &amp; editable mock</x:v>
      </x:c>
      <x:c r="B7" s="121" t="str">
        <x:v>FIELD_MOCK!A5:H67</x:v>
      </x:c>
      <x:c r="C7" s="121" t="str">
        <x:v>Canonical count inputs</x:v>
      </x:c>
      <x:c r="D7" s="121" t="str">
        <x:v>FIELD / MOCK</x:v>
      </x:c>
      <x:c r="E7" s="121" t="str">
        <x:v>Update Count (EDIT) D column.</x:v>
      </x:c>
    </x:row>
    <x:row r="8" ht="42" customHeight="1">
      <x:c r="A8" s="122" t="str">
        <x:v>Editable schedules</x:v>
      </x:c>
      <x:c r="B8" s="122" t="str">
        <x:v>SCHEDULE_EDIT!A5:M74</x:v>
      </x:c>
      <x:c r="C8" s="122" t="str">
        <x:v>Normalised rates</x:v>
      </x:c>
      <x:c r="D8" s="122" t="str">
        <x:v>SCENARIO</x:v>
      </x:c>
      <x:c r="E8" s="122" t="str">
        <x:v>Copy rates to AnyLogic manually; no live sync.</x:v>
      </x:c>
    </x:row>
    <x:row r="9" ht="42" customHeight="1">
      <x:c r="A9" s="121" t="str">
        <x:v>Current vs scenario selectors</x:v>
      </x:c>
      <x:c r="B9" s="121" t="str">
        <x:v>SELECT_OUTPUTS!A5:K54</x:v>
      </x:c>
      <x:c r="C9" s="121" t="str">
        <x:v>All selectOutput ports</x:v>
      </x:c>
      <x:c r="D9" s="121" t="str">
        <x:v>MODEL / SCENARIO</x:v>
      </x:c>
      <x:c r="E9" s="121" t="str">
        <x:v>See ROUTE_RULE_MAP for human-readable connections.</x:v>
      </x:c>
    </x:row>
    <x:row r="10" ht="42" customHeight="1">
      <x:c r="A10" s="122" t="str">
        <x:v>Signal control</x:v>
      </x:c>
      <x:c r="B10" s="122" t="str">
        <x:v>TRAFFIC_CONTROL!A5:I17</x:v>
      </x:c>
      <x:c r="C10" s="122" t="str">
        <x:v>TrafficLight + event</x:v>
      </x:c>
      <x:c r="D10" s="122" t="str">
        <x:v>MODEL</x:v>
      </x:c>
      <x:c r="E10" s="122" t="str">
        <x:v>Second crossing lacks separate release in saved model.</x:v>
      </x:c>
    </x:row>
    <x:row r="11" ht="42" customHeight="1">
      <x:c r="A11" s="121" t="str">
        <x:v>Drop-off parameter capacities</x:v>
      </x:c>
      <x:c r="B11" s="121" t="str">
        <x:v>DROPOFF_PARAMS!A5:I40</x:v>
      </x:c>
      <x:c r="C11" s="121" t="str">
        <x:v>Capacity, delay, arrays</x:v>
      </x:c>
      <x:c r="D11" s="121" t="str">
        <x:v>MODEL / SCENARIO</x:v>
      </x:c>
      <x:c r="E11" s="121" t="str">
        <x:v>Separate Z1 from main Z2/Z3 occupancy arrays.</x:v>
      </x:c>
    </x:row>
    <x:row r="12" ht="42" customHeight="1">
      <x:c r="A12" s="122" t="str">
        <x:v>Location mapping</x:v>
      </x:c>
      <x:c r="B12" s="122" t="str">
        <x:v>DATA_BINDINGS!A6:J23</x:v>
      </x:c>
      <x:c r="C12" s="122" t="str">
        <x:v>Map ID to model property</x:v>
      </x:c>
      <x:c r="D12" s="122" t="str">
        <x:v>REFERENCE</x:v>
      </x:c>
      <x:c r="E12" s="122" t="str">
        <x:v>Do not rename original AnyLogic block in this sheet.</x:v>
      </x:c>
    </x:row>
    <x:row r="13" ht="42" customHeight="1">
      <x:c r="A13" s="121" t="str">
        <x:v>Route summary</x:v>
      </x:c>
      <x:c r="B13" s="121" t="str">
        <x:v>ROUTE_RULE_MAP!A6:H17</x:v>
      </x:c>
      <x:c r="C13" s="121" t="str">
        <x:v>Destination wiring at junctions</x:v>
      </x:c>
      <x:c r="D13" s="121" t="str">
        <x:v>REFERENCE</x:v>
      </x:c>
      <x:c r="E13" s="121" t="str">
        <x:v>Read with SELECT_OUTPUTS.</x:v>
      </x:c>
    </x:row>
    <x:row r="14" ht="42" customHeight="1">
      <x:c r="A14" s="122" t="str">
        <x:v>Column schema</x:v>
      </x:c>
      <x:c r="B14" s="122" t="str">
        <x:v>COLUMN_DICTIONARY!A6:E22</x:v>
      </x:c>
      <x:c r="C14" s="122" t="str">
        <x:v>Recommended reporting schema</x:v>
      </x:c>
      <x:c r="D14" s="122" t="str">
        <x:v>REFERENCE</x:v>
      </x:c>
      <x:c r="E14" s="122" t="str">
        <x:v>Standardized input/output column names.</x:v>
      </x:c>
    </x:row>
    <x:row r="15" ht="42" customHeight="1">
      <x:c r="A15" s="121" t="str">
        <x:v>Baseline audit</x:v>
      </x:c>
      <x:c r="B15" s="121" t="str">
        <x:v>AUDIT!A5:G25</x:v>
      </x:c>
      <x:c r="C15" s="121" t="str">
        <x:v>Blocking errors and mismatches</x:v>
      </x:c>
      <x:c r="D15" s="121" t="str">
        <x:v>ACTION</x:v>
      </x:c>
      <x:c r="E15" s="121" t="str">
        <x:v>Resolve before freezing baseline.</x:v>
      </x:c>
    </x:row>
  </x:sheetData>
  <x:mergeCells>
    <x:mergeCell ref="A1:E2"/>
    <x:mergeCell ref="A3:E3"/>
  </x:mergeCells>
  <x:pageMargins left="0.7" right="0.7" top="0.75" bottom="0.75" header="0.3" footer="0.3"/>
</x:worksheet>
</file>